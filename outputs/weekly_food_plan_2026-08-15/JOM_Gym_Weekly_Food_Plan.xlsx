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66c8fb17954839" /></Relationships>
</file>

<file path=xl/workbook.xml><?xml version="1.0" encoding="utf-8"?>
<x:workbook xmlns:x="http://schemas.openxmlformats.org/spreadsheetml/2006/main">
  <x:sheets>
    <x:sheet xmlns:r="http://schemas.openxmlformats.org/officeDocument/2006/relationships" name="Start Here" sheetId="1" r:id="R21590cd2593a4071"/>
    <x:sheet xmlns:r="http://schemas.openxmlformats.org/officeDocument/2006/relationships" name="Daily Plan" sheetId="2" r:id="R4ec8d015b4914f8a"/>
    <x:sheet xmlns:r="http://schemas.openxmlformats.org/officeDocument/2006/relationships" name="Shopping List" sheetId="3" r:id="R3d7acb165dd745c4"/>
    <x:sheet xmlns:r="http://schemas.openxmlformats.org/officeDocument/2006/relationships" name="Food Data" sheetId="4" r:id="Rad5343cbd3d84912"/>
    <x:sheet xmlns:r="http://schemas.openxmlformats.org/officeDocument/2006/relationships" name="Meal Prep" sheetId="5" r:id="R66c92cd8ab59443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0"/>
  </x:numFmts>
  <x:fonts count="14">
    <x:font>
      <x:sz val="11"/>
      <x:name val="Carlito"/>
    </x:font>
    <x:font>
      <x:b/>
      <x:sz val="20"/>
      <x:color rgb="FFFFFFFF"/>
      <x:name val="Carlito"/>
    </x:font>
    <x:font>
      <x:i/>
      <x:sz val="11"/>
      <x:color rgb="FF1F2925"/>
      <x:name val="Carlito"/>
    </x:font>
    <x:font>
      <x:b/>
      <x:sz val="11"/>
      <x:color rgb="FF1F2925"/>
      <x:name val="Carlito"/>
    </x:font>
    <x:font>
      <x:i/>
      <x:sz val="11"/>
      <x:color rgb="FFFFFFFF"/>
      <x:name val="Carlito"/>
    </x:font>
    <x:font>
      <x:b/>
      <x:sz val="11"/>
      <x:color rgb="FFFFFFFF"/>
      <x:name val="Carlito"/>
    </x:font>
    <x:font>
      <x:b/>
      <x:sz val="11"/>
      <x:color rgb="FF66736D"/>
      <x:name val="Carlito"/>
    </x:font>
    <x:font>
      <x:b/>
      <x:sz val="15"/>
      <x:color rgb="FF173F35"/>
      <x:name val="Carlito"/>
    </x:font>
    <x:font>
      <x:b/>
      <x:sz val="11"/>
      <x:color rgb="FF173F35"/>
      <x:name val="Carlito"/>
    </x:font>
    <x:font>
      <x:sz val="14"/>
      <x:color rgb="FF2F6B57"/>
      <x:name val="Carlito"/>
    </x:font>
    <x:font>
      <x:b/>
      <x:sz val="10"/>
      <x:color rgb="FF1F2925"/>
      <x:name val="Aptos"/>
    </x:font>
    <x:font>
      <x:i/>
      <x:sz val="10"/>
      <x:color rgb="FF1F2925"/>
      <x:name val="Aptos"/>
    </x:font>
    <x:font>
      <x:sz val="10"/>
      <x:color rgb="FF1F2925"/>
      <x:name val="Aptos"/>
    </x:font>
    <x:font>
      <x:b/>
      <x:sz val="20"/>
      <x:color rgb="FFFFFFFF"/>
      <x:name val="Aptos"/>
    </x:font>
  </x:fonts>
  <x:fills count="7">
    <x:fill>
      <x:patternFill patternType="none"/>
    </x:fill>
    <x:fill>
      <x:patternFill patternType="gray125"/>
    </x:fill>
    <x:fill>
      <x:patternFill patternType="solid">
        <x:fgColor rgb="FF173F35"/>
      </x:patternFill>
    </x:fill>
    <x:fill>
      <x:patternFill patternType="solid">
        <x:fgColor rgb="FFFFF8E8"/>
      </x:patternFill>
    </x:fill>
    <x:fill>
      <x:patternFill patternType="solid">
        <x:fgColor rgb="FFDDEBE5"/>
      </x:patternFill>
    </x:fill>
    <x:fill>
      <x:patternFill patternType="solid">
        <x:fgColor rgb="FF2F6B57"/>
      </x:patternFill>
    </x:fill>
    <x:fill>
      <x:patternFill patternType="solid">
        <x:fgColor rgb="FFF5F7F2"/>
      </x:patternFill>
    </x:fill>
  </x:fills>
  <x:borders count="2">
    <x:border/>
    <x:border>
      <x:bottom style="thin">
        <x:color rgb="FF2F6B57"/>
      </x:bottom>
    </x:border>
  </x:borders>
  <x:cellStyleXfs count="1">
    <x:xf numFmtId="0" fontId="0" fillId="0" borderId="0"/>
  </x:cellStyleXfs>
  <x:cellXfs count="5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200" fontId="0" fillId="0" borderId="0" xfId="0" applyNumberFormat="1" applyFont="1" applyFill="1" applyBorder="1"/>
    <x:xf numFmtId="201" fontId="0" fillId="0" borderId="0" xfId="0" applyNumberFormat="1" applyFont="1" applyFill="1" applyBorder="1"/>
    <x:xf numFmtId="0" fontId="0" fillId="0"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5" fillId="5" borderId="0" xfId="0" applyNumberFormat="1" applyFont="1" applyFill="1" applyBorder="1"/>
    <x:xf numFmtId="0" fontId="5" fillId="5" borderId="0" xfId="0" applyNumberFormat="1" applyFont="1" applyFill="1" applyBorder="1" applyAlignment="1">
      <x:alignment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7" fillId="3" borderId="0" xfId="0" applyNumberFormat="1" applyFont="1" applyFill="1" applyBorder="1"/>
    <x:xf numFmtId="0" fontId="7" fillId="3" borderId="0" xfId="0" applyNumberFormat="1" applyFont="1" applyFill="1" applyBorder="1" applyAlignment="1">
      <x:alignment horizontal="center"/>
    </x:xf>
    <x:xf numFmtId="0" fontId="7" fillId="3" borderId="0" xfId="0" applyNumberFormat="1" applyFont="1" applyFill="1" applyBorder="1" applyAlignment="1">
      <x:alignment horizontal="center" vertical="center"/>
    </x:xf>
    <x:xf numFmtId="0" fontId="8" fillId="3" borderId="0" xfId="0" applyNumberFormat="1" applyFont="1" applyFill="1" applyBorder="1"/>
    <x:xf numFmtId="200" fontId="8" fillId="3" borderId="0" xfId="0" applyNumberFormat="1" applyFont="1" applyFill="1" applyBorder="1"/>
    <x:xf numFmtId="202" fontId="0" fillId="0" borderId="0" xfId="0" applyNumberFormat="1" applyFont="1" applyFill="1" applyBorder="1"/>
    <x:xf numFmtId="202" fontId="0" fillId="3" borderId="0" xfId="0" applyNumberFormat="1" applyFont="1" applyFill="1" applyBorder="1"/>
    <x:xf numFmtId="202" fontId="8" fillId="3" borderId="0" xfId="0" applyNumberFormat="1" applyFont="1" applyFill="1" applyBorder="1"/>
    <x:xf numFmtId="0" fontId="9" fillId="0" borderId="0" xfId="0" applyNumberFormat="1" applyFont="1" applyFill="1" applyBorder="1"/>
    <x:xf numFmtId="0" fontId="9" fillId="0" borderId="0" xfId="0" applyNumberFormat="1" applyFont="1" applyFill="1" applyBorder="1" applyAlignment="1">
      <x:alignment horizontal="center"/>
    </x:xf>
    <x:xf numFmtId="0" fontId="8" fillId="3" borderId="0" xfId="0" applyNumberFormat="1" applyFont="1" applyFill="1" applyBorder="1" applyAlignment="1">
      <x:alignment horizontal="center"/>
    </x:xf>
    <x:xf numFmtId="0" fontId="3" fillId="0" borderId="0" xfId="0" applyNumberFormat="1" applyFont="1" applyFill="1" applyBorder="1"/>
    <x:xf numFmtId="0" fontId="10" fillId="2" borderId="0" xfId="0" applyNumberFormat="1" applyFont="1" applyFill="1" applyBorder="1" applyAlignment="1">
      <x:alignment vertical="center"/>
    </x:xf>
    <x:xf numFmtId="0" fontId="11" fillId="5" borderId="0" xfId="0" applyNumberFormat="1" applyFont="1" applyFill="1" applyBorder="1" applyAlignment="1">
      <x:alignment vertical="center"/>
    </x:xf>
    <x:xf numFmtId="0" fontId="12" fillId="0" borderId="0" xfId="0" applyNumberFormat="1" applyFont="1" applyFill="1" applyBorder="1"/>
    <x:xf numFmtId="0" fontId="10" fillId="5" borderId="0" xfId="0" applyNumberFormat="1" applyFont="1" applyFill="1" applyBorder="1" applyAlignment="1">
      <x:alignment vertical="center"/>
    </x:xf>
    <x:xf numFmtId="0" fontId="10" fillId="6" borderId="0" xfId="0" applyNumberFormat="1" applyFont="1" applyFill="1" applyBorder="1" applyAlignment="1">
      <x:alignment horizontal="center"/>
    </x:xf>
    <x:xf numFmtId="0" fontId="10" fillId="3" borderId="0" xfId="0" applyNumberFormat="1" applyFont="1" applyFill="1" applyBorder="1" applyAlignment="1">
      <x:alignment horizontal="center" vertical="center"/>
    </x:xf>
    <x:xf numFmtId="0" fontId="10" fillId="4" borderId="1" xfId="0" applyNumberFormat="1" applyFont="1" applyFill="1" applyBorder="1" applyAlignment="1">
      <x:alignment vertical="center" wrapText="1"/>
    </x:xf>
    <x:xf numFmtId="0" fontId="12" fillId="0" borderId="0" xfId="0" applyNumberFormat="1" applyFont="1" applyFill="1" applyBorder="1" applyAlignment="1">
      <x:alignment wrapText="1"/>
    </x:xf>
    <x:xf numFmtId="200" fontId="12" fillId="0" borderId="0" xfId="0" applyNumberFormat="1" applyFont="1" applyFill="1" applyBorder="1"/>
    <x:xf numFmtId="200" fontId="10" fillId="3" borderId="0" xfId="0" applyNumberFormat="1" applyFont="1" applyFill="1" applyBorder="1"/>
    <x:xf numFmtId="0" fontId="10" fillId="3" borderId="0" xfId="0" applyNumberFormat="1" applyFont="1" applyFill="1" applyBorder="1"/>
    <x:xf numFmtId="0" fontId="11" fillId="3" borderId="0" xfId="0" applyNumberFormat="1" applyFont="1" applyFill="1" applyBorder="1" applyAlignment="1">
      <x:alignment vertical="center" wrapText="1"/>
    </x:xf>
    <x:xf numFmtId="202" fontId="12" fillId="0" borderId="0" xfId="0" applyNumberFormat="1" applyFont="1" applyFill="1" applyBorder="1"/>
    <x:xf numFmtId="202" fontId="10" fillId="3" borderId="0" xfId="0" applyNumberFormat="1" applyFont="1" applyFill="1" applyBorder="1"/>
    <x:xf numFmtId="0" fontId="12" fillId="0" borderId="0" xfId="0" applyNumberFormat="1" applyFont="1" applyFill="1" applyBorder="1" applyAlignment="1">
      <x:alignment horizontal="center"/>
    </x:xf>
    <x:xf numFmtId="201" fontId="12" fillId="0" borderId="0" xfId="0" applyNumberFormat="1" applyFont="1" applyFill="1" applyBorder="1"/>
    <x:xf numFmtId="0" fontId="10" fillId="3" borderId="0" xfId="0" applyNumberFormat="1" applyFont="1" applyFill="1" applyBorder="1" applyAlignment="1">
      <x:alignment horizontal="center"/>
    </x:xf>
    <x:xf numFmtId="0" fontId="10" fillId="0" borderId="0" xfId="0" applyNumberFormat="1" applyFont="1" applyFill="1" applyBorder="1"/>
    <x:xf numFmtId="0" fontId="13" fillId="2" borderId="0" xfId="0" applyNumberFormat="1" applyFont="1" applyFill="1" applyBorder="1" applyAlignment="1">
      <x:alignment vertical="center"/>
    </x:xf>
  </x:cellXfs>
  <x:cellStyles count="1">
    <x:cellStyle name="Normal" xfId="0"/>
  </x:cellStyles>
  <x:dxfs count="2">
    <x:dxf>
      <x:font>
        <x:b/>
        <x:color rgb="FF173F35"/>
      </x:font>
      <x:fill>
        <x:patternFill>
          <x:bgColor rgb="FFD9EAD3"/>
        </x:patternFill>
      </x:fill>
    </x:dxf>
    <x:dxf>
      <x:font>
        <x:b/>
        <x:color rgb="FF7A1E1E"/>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3341ac5f8c4579" /><Relationship Type="http://schemas.openxmlformats.org/officeDocument/2006/relationships/theme" Target="/xl/theme/theme1.xml" Id="Rd938c9c7ea814e17" /><Relationship Type="http://schemas.openxmlformats.org/officeDocument/2006/relationships/sharedStrings" Target="/xl/sharedStrings.xml" Id="Rf39e20ee156a4d71" /><Relationship Type="http://schemas.openxmlformats.org/officeDocument/2006/relationships/worksheet" Target="/xl/worksheets/sheet1.xml" Id="R21590cd2593a4071" /><Relationship Type="http://schemas.openxmlformats.org/officeDocument/2006/relationships/worksheet" Target="/xl/worksheets/sheet2.xml" Id="R4ec8d015b4914f8a" /><Relationship Type="http://schemas.openxmlformats.org/officeDocument/2006/relationships/worksheet" Target="/xl/worksheets/sheet3.xml" Id="R3d7acb165dd745c4" /><Relationship Type="http://schemas.openxmlformats.org/officeDocument/2006/relationships/worksheet" Target="/xl/worksheets/sheet4.xml" Id="Rad5343cbd3d84912" /><Relationship Type="http://schemas.openxmlformats.org/officeDocument/2006/relationships/worksheet" Target="/xl/worksheets/sheet5.xml" Id="R66c92cd8ab59443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43" hidden="0" customWidth="1"/>
    <x:col min="3" max="3" width="43" hidden="0" customWidth="1"/>
    <x:col min="4" max="4" width="43" hidden="0" customWidth="1"/>
    <x:col min="5" max="5" width="11" hidden="0" customWidth="1"/>
    <x:col min="6" max="6" width="11" hidden="0" customWidth="1"/>
    <x:col min="7" max="7" width="11" hidden="0" customWidth="1"/>
    <x:col min="8" max="8" width="11" hidden="0" customWidth="1"/>
    <x:col min="9" max="9" width="11" hidden="0" customWidth="1"/>
    <x:col min="10" max="10" width="14" hidden="0" customWidth="1"/>
  </x:cols>
  <x:sheetData>
    <x:row r="1" ht="34" customHeight="1">
      <x:c r="A1" s="54" t="str">
        <x:v>Your meal-first 1,800 kcal gym week</x:v>
      </x:c>
      <x:c r="B1" s="54"/>
      <x:c r="C1" s="54"/>
      <x:c r="D1" s="54"/>
      <x:c r="E1" s="54"/>
      <x:c r="F1" s="54"/>
      <x:c r="G1" s="54"/>
      <x:c r="H1" s="54"/>
      <x:c r="I1" s="54"/>
      <x:c r="J1" s="54"/>
    </x:row>
    <x:row r="2">
      <x:c r="A2" s="37" t="str">
        <x:v>Two larger meals carry the plan • snacks are optional top-ups only • Sainsbury’s UK</x:v>
      </x:c>
      <x:c r="B2" s="37"/>
      <x:c r="C2" s="37"/>
      <x:c r="D2" s="37"/>
      <x:c r="E2" s="37"/>
      <x:c r="F2" s="37"/>
      <x:c r="G2" s="37"/>
      <x:c r="H2" s="37"/>
      <x:c r="I2" s="37"/>
      <x:c r="J2" s="37"/>
    </x:row>
    <x:row r="3">
      <x:c r="A3" s="38"/>
      <x:c r="B3" s="38"/>
      <x:c r="C3" s="38"/>
      <x:c r="D3" s="38"/>
      <x:c r="E3" s="38"/>
      <x:c r="F3" s="38"/>
      <x:c r="G3" s="38"/>
      <x:c r="H3" s="38"/>
      <x:c r="I3" s="38"/>
      <x:c r="J3" s="38"/>
    </x:row>
    <x:row r="4">
      <x:c r="A4" s="39" t="str">
        <x:v>Targets</x:v>
      </x:c>
      <x:c r="B4" s="39"/>
      <x:c r="C4" s="39"/>
      <x:c r="D4" s="39"/>
      <x:c r="E4" s="39"/>
      <x:c r="F4" s="39"/>
      <x:c r="G4" s="39"/>
      <x:c r="H4" s="39"/>
      <x:c r="I4" s="39"/>
      <x:c r="J4" s="39"/>
    </x:row>
    <x:row r="5">
      <x:c r="A5" s="40" t="str">
        <x:v>Calories</x:v>
      </x:c>
      <x:c r="B5" s="41" t="n">
        <x:v>1800</x:v>
      </x:c>
      <x:c r="C5" s="40" t="str">
        <x:v>Protein</x:v>
      </x:c>
      <x:c r="D5" s="41" t="n">
        <x:v>160</x:v>
      </x:c>
      <x:c r="E5" s="40" t="str">
        <x:v>Carbs</x:v>
      </x:c>
      <x:c r="F5" s="41" t="n">
        <x:v>155</x:v>
      </x:c>
      <x:c r="G5" s="40" t="str">
        <x:v>Fat</x:v>
      </x:c>
      <x:c r="H5" s="41" t="n">
        <x:v>60</x:v>
      </x:c>
      <x:c r="I5" s="40" t="str">
        <x:v>Fibre</x:v>
      </x:c>
      <x:c r="J5" s="41" t="n">
        <x:v>30</x:v>
      </x:c>
    </x:row>
    <x:row r="6">
      <x:c r="A6" s="40" t="str">
        <x:v>kcal/day</x:v>
      </x:c>
      <x:c r="B6" s="41"/>
      <x:c r="C6" s="40" t="str">
        <x:v>g/day</x:v>
      </x:c>
      <x:c r="D6" s="41"/>
      <x:c r="E6" s="40" t="str">
        <x:v>g/day</x:v>
      </x:c>
      <x:c r="F6" s="41"/>
      <x:c r="G6" s="40" t="str">
        <x:v>g/day</x:v>
      </x:c>
      <x:c r="H6" s="41"/>
      <x:c r="I6" s="40" t="str">
        <x:v>g/day</x:v>
      </x:c>
      <x:c r="J6" s="41"/>
    </x:row>
    <x:row r="7">
      <x:c r="A7" s="38"/>
      <x:c r="B7" s="38"/>
      <x:c r="C7" s="38"/>
      <x:c r="D7" s="38"/>
      <x:c r="E7" s="38"/>
      <x:c r="F7" s="38"/>
      <x:c r="G7" s="38"/>
      <x:c r="H7" s="38"/>
      <x:c r="I7" s="38"/>
      <x:c r="J7" s="38"/>
    </x:row>
    <x:row r="8">
      <x:c r="A8" s="39" t="str">
        <x:v>Week at a glance — snacks not included</x:v>
      </x:c>
      <x:c r="B8" s="39"/>
      <x:c r="C8" s="39"/>
      <x:c r="D8" s="39"/>
      <x:c r="E8" s="39"/>
      <x:c r="F8" s="39"/>
      <x:c r="G8" s="39"/>
      <x:c r="H8" s="39"/>
      <x:c r="I8" s="39"/>
      <x:c r="J8" s="39"/>
    </x:row>
    <x:row r="9">
      <x:c r="A9" s="42" t="str">
        <x:v>Day</x:v>
      </x:c>
      <x:c r="B9" s="42" t="str">
        <x:v>Meal 1</x:v>
      </x:c>
      <x:c r="C9" s="42" t="str">
        <x:v>Meal 2</x:v>
      </x:c>
      <x:c r="D9" s="42" t="str">
        <x:v>Optional top-ups</x:v>
      </x:c>
      <x:c r="E9" s="42" t="str">
        <x:v>kcal</x:v>
      </x:c>
      <x:c r="F9" s="42" t="str">
        <x:v>Protein</x:v>
      </x:c>
      <x:c r="G9" s="42" t="str">
        <x:v>Carbs</x:v>
      </x:c>
      <x:c r="H9" s="42" t="str">
        <x:v>Fat</x:v>
      </x:c>
      <x:c r="I9" s="42" t="str">
        <x:v>Fibre</x:v>
      </x:c>
      <x:c r="J9" s="42" t="str">
        <x:v>Status</x:v>
      </x:c>
    </x:row>
    <x:row r="10" ht="72" customHeight="1">
      <x:c r="A10" s="38" t="str">
        <x:v>Monday</x:v>
      </x:c>
      <x:c r="B10" s="43" t="str">
        <x:v>Chicken thigh tomato pasta: 245g cooked chicken (~327g raw / ~2.6 thighs) + 65g dry pasta</x:v>
      </x:c>
      <x:c r="C10" s="43" t="str">
        <x:v>Chicken thigh rice bowl: 239g cooked chicken (~319g raw / ~2.6 thighs) + 58g dry rice</x:v>
      </x:c>
      <x:c r="D10" s="43" t="str">
        <x:v>Not in totals: 1 Kvarg pot, 2 veggie cakes or 10g dark chocolate only if needed</x:v>
      </x:c>
      <x:c r="E10" s="44" t="n">
        <x:f>SUMIF('Daily Plan'!$A$6:$A$110,A10,'Daily Plan'!$G$6:$G$110)</x:f>
        <x:v>1798.66</x:v>
      </x:c>
      <x:c r="F10" s="44" t="n">
        <x:f>SUMIF('Daily Plan'!$A$6:$A$110,A10,'Daily Plan'!$H$6:$H$110)</x:f>
        <x:v>160.066</x:v>
      </x:c>
      <x:c r="G10" s="44" t="n">
        <x:f>SUMIF('Daily Plan'!$A$6:$A$110,A10,'Daily Plan'!$I$6:$I$110)</x:f>
        <x:v>146.21600000000004</x:v>
      </x:c>
      <x:c r="H10" s="44" t="n">
        <x:f>SUMIF('Daily Plan'!$A$6:$A$110,A10,'Daily Plan'!$J$6:$J$110)</x:f>
        <x:v>55.91799999999999</x:v>
      </x:c>
      <x:c r="I10" s="44" t="n">
        <x:f>SUMIF('Daily Plan'!$A$6:$A$110,A10,'Daily Plan'!$K$6:$K$110)</x:f>
        <x:v>32.675</x:v>
      </x:c>
      <x:c r="J10" s="38" t="str">
        <x:f>IF(AND(ABS(E10-$B$5)&lt;=60,F10&gt;=$D$5-5,I10&gt;=$J$5),"On track","Review")</x:f>
        <x:v>On track</x:v>
      </x:c>
    </x:row>
    <x:row r="11" ht="72" customHeight="1">
      <x:c r="A11" s="38" t="str">
        <x:v>Tuesday</x:v>
      </x:c>
      <x:c r="B11" s="43" t="str">
        <x:v>5% mince tomato pasta: 175g cooked mince (~233g raw) + 60g dry pasta</x:v>
      </x:c>
      <x:c r="C11" s="43" t="str">
        <x:v>5% mince rice bowl: 187g cooked mince (~249g raw) + 59g dry rice</x:v>
      </x:c>
      <x:c r="D11" s="43" t="str">
        <x:v>Not in totals: 1 Kvarg pot, 2 veggie cakes or 10g dark chocolate only if needed</x:v>
      </x:c>
      <x:c r="E11" s="44" t="n">
        <x:f>SUMIF('Daily Plan'!$A$6:$A$110,A11,'Daily Plan'!$G$6:$G$110)</x:f>
        <x:v>1807.59</x:v>
      </x:c>
      <x:c r="F11" s="44" t="n">
        <x:f>SUMIF('Daily Plan'!$A$6:$A$110,A11,'Daily Plan'!$H$6:$H$110)</x:f>
        <x:v>160.348</x:v>
      </x:c>
      <x:c r="G11" s="44" t="n">
        <x:f>SUMIF('Daily Plan'!$A$6:$A$110,A11,'Daily Plan'!$I$6:$I$110)</x:f>
        <x:v>144.72300000000004</x:v>
      </x:c>
      <x:c r="H11" s="44" t="n">
        <x:f>SUMIF('Daily Plan'!$A$6:$A$110,A11,'Daily Plan'!$J$6:$J$110)</x:f>
        <x:v>56.97599999999999</x:v>
      </x:c>
      <x:c r="I11" s="44" t="n">
        <x:f>SUMIF('Daily Plan'!$A$6:$A$110,A11,'Daily Plan'!$K$6:$K$110)</x:f>
        <x:v>34.56</x:v>
      </x:c>
      <x:c r="J11" s="38" t="str">
        <x:f>IF(AND(ABS(E11-$B$5)&lt;=60,F11&gt;=$D$5-5,I11&gt;=$J$5),"On track","Review")</x:f>
        <x:v>On track</x:v>
      </x:c>
    </x:row>
    <x:row r="12" ht="72" customHeight="1">
      <x:c r="A12" s="38" t="str">
        <x:v>Wednesday</x:v>
      </x:c>
      <x:c r="B12" s="43" t="str">
        <x:v>Sirloin steak &amp; chips: 215g cooked steak (~276g raw) + 190g frozen chips</x:v>
      </x:c>
      <x:c r="C12" s="43" t="str">
        <x:v>Salmon rice bowl: 253g cooked salmon (~298g raw / ~3.3 fillets) + 82g dry rice</x:v>
      </x:c>
      <x:c r="D12" s="43" t="str">
        <x:v>Not in totals: 1 Kvarg pot, 2 veggie cakes or 10g dark chocolate only if needed</x:v>
      </x:c>
      <x:c r="E12" s="44" t="n">
        <x:f>SUMIF('Daily Plan'!$A$6:$A$110,A12,'Daily Plan'!$G$6:$G$110)</x:f>
        <x:v>1802.9199999999998</x:v>
      </x:c>
      <x:c r="F12" s="44" t="n">
        <x:f>SUMIF('Daily Plan'!$A$6:$A$110,A12,'Daily Plan'!$H$6:$H$110)</x:f>
        <x:v>160.219</x:v>
      </x:c>
      <x:c r="G12" s="44" t="n">
        <x:f>SUMIF('Daily Plan'!$A$6:$A$110,A12,'Daily Plan'!$I$6:$I$110)</x:f>
        <x:v>142.73400000000004</x:v>
      </x:c>
      <x:c r="H12" s="44" t="n">
        <x:f>SUMIF('Daily Plan'!$A$6:$A$110,A12,'Daily Plan'!$J$6:$J$110)</x:f>
        <x:v>57.94299999999998</x:v>
      </x:c>
      <x:c r="I12" s="44" t="n">
        <x:f>SUMIF('Daily Plan'!$A$6:$A$110,A12,'Daily Plan'!$K$6:$K$110)</x:f>
        <x:v>32.84</x:v>
      </x:c>
      <x:c r="J12" s="38" t="str">
        <x:f>IF(AND(ABS(E12-$B$5)&lt;=60,F12&gt;=$D$5-5,I12&gt;=$J$5),"On track","Review")</x:f>
        <x:v>On track</x:v>
      </x:c>
    </x:row>
    <x:row r="13" ht="72" customHeight="1">
      <x:c r="A13" s="38" t="str">
        <x:v>Thursday</x:v>
      </x:c>
      <x:c r="B13" s="43" t="str">
        <x:v>Chicken thigh pesto pasta: 255g cooked chicken (~340g raw / ~2.7 thighs) + 70g dry pasta</x:v>
      </x:c>
      <x:c r="C13" s="43" t="str">
        <x:v>Salmon rice bowl: 219g cooked salmon (~258g raw / ~2.9 fillets) + 61g dry rice</x:v>
      </x:c>
      <x:c r="D13" s="43" t="str">
        <x:v>Not in totals: 1 Kvarg pot, 2 veggie cakes or 10g dark chocolate only if needed</x:v>
      </x:c>
      <x:c r="E13" s="44" t="n">
        <x:f>SUMIF('Daily Plan'!$A$6:$A$110,A13,'Daily Plan'!$G$6:$G$110)</x:f>
        <x:v>1804.6399999999996</x:v>
      </x:c>
      <x:c r="F13" s="44" t="n">
        <x:f>SUMIF('Daily Plan'!$A$6:$A$110,A13,'Daily Plan'!$H$6:$H$110)</x:f>
        <x:v>160.19199999999998</x:v>
      </x:c>
      <x:c r="G13" s="44" t="n">
        <x:f>SUMIF('Daily Plan'!$A$6:$A$110,A13,'Daily Plan'!$I$6:$I$110)</x:f>
        <x:v>145.47200000000004</x:v>
      </x:c>
      <x:c r="H13" s="44" t="n">
        <x:f>SUMIF('Daily Plan'!$A$6:$A$110,A13,'Daily Plan'!$J$6:$J$110)</x:f>
        <x:v>56.63899999999999</x:v>
      </x:c>
      <x:c r="I13" s="44" t="n">
        <x:f>SUMIF('Daily Plan'!$A$6:$A$110,A13,'Daily Plan'!$K$6:$K$110)</x:f>
        <x:v>33.330000000000005</x:v>
      </x:c>
      <x:c r="J13" s="38" t="str">
        <x:f>IF(AND(ABS(E13-$B$5)&lt;=60,F13&gt;=$D$5-5,I13&gt;=$J$5),"On track","Review")</x:f>
        <x:v>On track</x:v>
      </x:c>
    </x:row>
    <x:row r="14" ht="72" customHeight="1">
      <x:c r="A14" s="38" t="str">
        <x:v>Friday</x:v>
      </x:c>
      <x:c r="B14" s="43" t="str">
        <x:v>5% mince, feta &amp; tomato pasta: 200g cooked mince (~267g raw) + 65g dry pasta</x:v>
      </x:c>
      <x:c r="C14" s="43" t="str">
        <x:v>Sirloin steak rice bowl: 180g cooked steak (~231g raw) + 60g dry rice</x:v>
      </x:c>
      <x:c r="D14" s="43" t="str">
        <x:v>Not in totals: 1 Kvarg pot, 2 veggie cakes or 10g dark chocolate only if needed</x:v>
      </x:c>
      <x:c r="E14" s="44" t="n">
        <x:f>SUMIF('Daily Plan'!$A$6:$A$110,A14,'Daily Plan'!$G$6:$G$110)</x:f>
        <x:v>1807.06</x:v>
      </x:c>
      <x:c r="F14" s="44" t="n">
        <x:f>SUMIF('Daily Plan'!$A$6:$A$110,A14,'Daily Plan'!$H$6:$H$110)</x:f>
        <x:v>160.42000000000002</x:v>
      </x:c>
      <x:c r="G14" s="44" t="n">
        <x:f>SUMIF('Daily Plan'!$A$6:$A$110,A14,'Daily Plan'!$I$6:$I$110)</x:f>
        <x:v>148.65500000000003</x:v>
      </x:c>
      <x:c r="H14" s="44" t="n">
        <x:f>SUMIF('Daily Plan'!$A$6:$A$110,A14,'Daily Plan'!$J$6:$J$110)</x:f>
        <x:v>55.40999999999998</x:v>
      </x:c>
      <x:c r="I14" s="44" t="n">
        <x:f>SUMIF('Daily Plan'!$A$6:$A$110,A14,'Daily Plan'!$K$6:$K$110)</x:f>
        <x:v>33.715</x:v>
      </x:c>
      <x:c r="J14" s="38" t="str">
        <x:f>IF(AND(ABS(E14-$B$5)&lt;=60,F14&gt;=$D$5-5,I14&gt;=$J$5),"On track","Review")</x:f>
        <x:v>On track</x:v>
      </x:c>
    </x:row>
    <x:row r="15" ht="72" customHeight="1">
      <x:c r="A15" s="38" t="str">
        <x:v>Saturday</x:v>
      </x:c>
      <x:c r="B15" s="43" t="str">
        <x:v>Chicken thigh rice bowl: 245g cooked chicken (~327g raw / ~2.6 thighs) + 54g dry rice</x:v>
      </x:c>
      <x:c r="C15" s="43" t="str">
        <x:v>Chicken thigh tomato pasta: 238g cooked chicken (~317g raw / ~2.5 thighs) + 70g dry pasta</x:v>
      </x:c>
      <x:c r="D15" s="43" t="str">
        <x:v>Not in totals: 1 Kvarg pot, 2 veggie cakes or 10g dark chocolate only if needed</x:v>
      </x:c>
      <x:c r="E15" s="44" t="n">
        <x:f>SUMIF('Daily Plan'!$A$6:$A$110,A15,'Daily Plan'!$G$6:$G$110)</x:f>
        <x:v>1801.16</x:v>
      </x:c>
      <x:c r="F15" s="44" t="n">
        <x:f>SUMIF('Daily Plan'!$A$6:$A$110,A15,'Daily Plan'!$H$6:$H$110)</x:f>
        <x:v>160.11599999999999</x:v>
      </x:c>
      <x:c r="G15" s="44" t="n">
        <x:f>SUMIF('Daily Plan'!$A$6:$A$110,A15,'Daily Plan'!$I$6:$I$110)</x:f>
        <x:v>146.79800000000003</x:v>
      </x:c>
      <x:c r="H15" s="44" t="n">
        <x:f>SUMIF('Daily Plan'!$A$6:$A$110,A15,'Daily Plan'!$J$6:$J$110)</x:f>
        <x:v>55.889999999999986</x:v>
      </x:c>
      <x:c r="I15" s="44" t="n">
        <x:f>SUMIF('Daily Plan'!$A$6:$A$110,A15,'Daily Plan'!$K$6:$K$110)</x:f>
        <x:v>32.800000000000004</x:v>
      </x:c>
      <x:c r="J15" s="38" t="str">
        <x:f>IF(AND(ABS(E15-$B$5)&lt;=60,F15&gt;=$D$5-5,I15&gt;=$J$5),"On track","Review")</x:f>
        <x:v>On track</x:v>
      </x:c>
    </x:row>
    <x:row r="16" ht="72" customHeight="1">
      <x:c r="A16" s="38" t="str">
        <x:v>Sunday</x:v>
      </x:c>
      <x:c r="B16" s="43" t="str">
        <x:v>Sirloin steak &amp; chips: 200g cooked steak (~256g raw) + 235g frozen chips</x:v>
      </x:c>
      <x:c r="C16" s="43" t="str">
        <x:v>5% mince rice bowl: 219g cooked mince (~292g raw) + 73g dry rice</x:v>
      </x:c>
      <x:c r="D16" s="43" t="str">
        <x:v>Not in totals: 1 Kvarg pot, 2 veggie cakes or 10g dark chocolate only if needed</x:v>
      </x:c>
      <x:c r="E16" s="44" t="n">
        <x:f>SUMIF('Daily Plan'!$A$6:$A$110,A16,'Daily Plan'!$G$6:$G$110)</x:f>
        <x:v>1808.0500000000002</x:v>
      </x:c>
      <x:c r="F16" s="44" t="n">
        <x:f>SUMIF('Daily Plan'!$A$6:$A$110,A16,'Daily Plan'!$H$6:$H$110)</x:f>
        <x:v>160.13099999999997</x:v>
      </x:c>
      <x:c r="G16" s="44" t="n">
        <x:f>SUMIF('Daily Plan'!$A$6:$A$110,A16,'Daily Plan'!$I$6:$I$110)</x:f>
        <x:v>144.29100000000003</x:v>
      </x:c>
      <x:c r="H16" s="44" t="n">
        <x:f>SUMIF('Daily Plan'!$A$6:$A$110,A16,'Daily Plan'!$J$6:$J$110)</x:f>
        <x:v>58.20699999999999</x:v>
      </x:c>
      <x:c r="I16" s="44" t="n">
        <x:f>SUMIF('Daily Plan'!$A$6:$A$110,A16,'Daily Plan'!$K$6:$K$110)</x:f>
        <x:v>33.74</x:v>
      </x:c>
      <x:c r="J16" s="38" t="str">
        <x:f>IF(AND(ABS(E16-$B$5)&lt;=60,F16&gt;=$D$5-5,I16&gt;=$J$5),"On track","Review")</x:f>
        <x:v>On track</x:v>
      </x:c>
    </x:row>
    <x:row r="17">
      <x:c r="A17" s="38"/>
      <x:c r="B17" s="38"/>
      <x:c r="C17" s="38"/>
      <x:c r="D17" s="38"/>
      <x:c r="E17" s="38"/>
      <x:c r="F17" s="38"/>
      <x:c r="G17" s="38"/>
      <x:c r="H17" s="38"/>
      <x:c r="I17" s="38"/>
      <x:c r="J17" s="38"/>
    </x:row>
    <x:row r="18">
      <x:c r="A18" s="39" t="str">
        <x:v>Weekly average</x:v>
      </x:c>
      <x:c r="B18" s="39"/>
      <x:c r="C18" s="39"/>
      <x:c r="D18" s="39"/>
      <x:c r="E18" s="45" t="n">
        <x:f>AVERAGE(E10:E16)</x:f>
        <x:v>1804.2971428571425</x:v>
      </x:c>
      <x:c r="F18" s="45" t="n">
        <x:f>AVERAGE(F10:F16)</x:f>
        <x:v>160.21314285714283</x:v>
      </x:c>
      <x:c r="G18" s="45" t="n">
        <x:f>AVERAGE(G10:G16)</x:f>
        <x:v>145.55557142857145</x:v>
      </x:c>
      <x:c r="H18" s="45" t="n">
        <x:f>AVERAGE(H10:H16)</x:f>
        <x:v>56.71185714285713</x:v>
      </x:c>
      <x:c r="I18" s="45" t="n">
        <x:f>AVERAGE(I10:I16)</x:f>
        <x:v>33.38</x:v>
      </x:c>
      <x:c r="J18" s="46" t="str">
        <x:f>COUNTIF(J10:J16,"On track")&amp;" / 7 on track"</x:f>
        <x:v>7 / 7 on track</x:v>
      </x:c>
    </x:row>
    <x:row r="19">
      <x:c r="A19" s="38"/>
      <x:c r="B19" s="38"/>
      <x:c r="C19" s="38"/>
      <x:c r="D19" s="38"/>
      <x:c r="E19" s="38"/>
      <x:c r="F19" s="38"/>
      <x:c r="G19" s="38"/>
      <x:c r="H19" s="38"/>
      <x:c r="I19" s="38"/>
      <x:c r="J19" s="38"/>
    </x:row>
    <x:row r="20">
      <x:c r="A20" s="47" t="str">
        <x:v>All planned calories now come from the two meals. The optional snack choices are deliberately excluded, so adding one increases that day's totals. Fibre is built into meals through broccoli, peas, peppers, spring onions, avocado and the chosen starch.</x:v>
      </x:c>
      <x:c r="B20" s="47"/>
      <x:c r="C20" s="47"/>
      <x:c r="D20" s="47"/>
      <x:c r="E20" s="47"/>
      <x:c r="F20" s="47"/>
      <x:c r="G20" s="47"/>
      <x:c r="H20" s="47"/>
      <x:c r="I20" s="47"/>
      <x:c r="J20" s="47"/>
    </x:row>
    <x:row r="21">
      <x:c r="A21" s="47"/>
      <x:c r="B21" s="47"/>
      <x:c r="C21" s="47"/>
      <x:c r="D21" s="47"/>
      <x:c r="E21" s="47"/>
      <x:c r="F21" s="47"/>
      <x:c r="G21" s="47"/>
      <x:c r="H21" s="47"/>
      <x:c r="I21" s="47"/>
      <x:c r="J21" s="47"/>
    </x:row>
    <x:row r="22">
      <x:c r="A22" s="47"/>
      <x:c r="B22" s="47"/>
      <x:c r="C22" s="47"/>
      <x:c r="D22" s="47"/>
      <x:c r="E22" s="47"/>
      <x:c r="F22" s="47"/>
      <x:c r="G22" s="47"/>
      <x:c r="H22" s="47"/>
      <x:c r="I22" s="47"/>
      <x:c r="J22" s="47"/>
    </x:row>
  </x:sheetData>
  <x:mergeCells>
    <x:mergeCell ref="A1:J1"/>
    <x:mergeCell ref="A2:J2"/>
    <x:mergeCell ref="A4:J4"/>
    <x:mergeCell ref="A8:J8"/>
    <x:mergeCell ref="A18:D18"/>
    <x:mergeCell ref="A20:J22"/>
  </x:mergeCells>
  <x:conditionalFormatting sqref="J10:J16">
    <x:cfRule type="containsText" dxfId="0" priority="1" operator="containsText" text="On track"/>
    <x:cfRule type="containsText" dxfId="1" priority="2" operator="containsText" text="Review"/>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2" hidden="0" customWidth="1"/>
    <x:col min="3" max="3" width="34" hidden="0" customWidth="1"/>
    <x:col min="4" max="4" width="2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s>
  <x:sheetData>
    <x:row r="1" ht="34" customHeight="1">
      <x:c r="A1" s="54" t="str">
        <x:v>Seven-day meal plan — calories and protein moved into meals</x:v>
      </x:c>
      <x:c r="B1" s="54"/>
      <x:c r="C1" s="54"/>
      <x:c r="D1" s="54"/>
      <x:c r="E1" s="54"/>
      <x:c r="F1" s="54"/>
      <x:c r="G1" s="54"/>
      <x:c r="H1" s="54"/>
      <x:c r="I1" s="54"/>
      <x:c r="J1" s="54"/>
      <x:c r="K1" s="54"/>
    </x:row>
    <x:row r="2">
      <x:c r="A2" s="47" t="str">
        <x:v>Baseline plan contains two meals only. Meat/fish weights are cooked; pasta/rice are dry; chips and peas are frozen. Optional snacks are excluded from these totals.</x:v>
      </x:c>
      <x:c r="B2" s="47"/>
      <x:c r="C2" s="47"/>
      <x:c r="D2" s="47"/>
      <x:c r="E2" s="47"/>
      <x:c r="F2" s="47"/>
      <x:c r="G2" s="47"/>
      <x:c r="H2" s="47"/>
      <x:c r="I2" s="47"/>
      <x:c r="J2" s="47"/>
      <x:c r="K2" s="47"/>
    </x:row>
    <x:row r="3">
      <x:c r="A3" s="47"/>
      <x:c r="B3" s="47"/>
      <x:c r="C3" s="47"/>
      <x:c r="D3" s="47"/>
      <x:c r="E3" s="47"/>
      <x:c r="F3" s="47"/>
      <x:c r="G3" s="47"/>
      <x:c r="H3" s="47"/>
      <x:c r="I3" s="47"/>
      <x:c r="J3" s="47"/>
      <x:c r="K3" s="47"/>
    </x:row>
    <x:row r="4">
      <x:c r="A4" s="38"/>
      <x:c r="B4" s="38"/>
      <x:c r="C4" s="38"/>
      <x:c r="D4" s="38"/>
      <x:c r="E4" s="38"/>
      <x:c r="F4" s="38"/>
      <x:c r="G4" s="38"/>
      <x:c r="H4" s="38"/>
      <x:c r="I4" s="38"/>
      <x:c r="J4" s="38"/>
      <x:c r="K4" s="38"/>
    </x:row>
    <x:row r="5">
      <x:c r="A5" s="42" t="str">
        <x:v>Day</x:v>
      </x:c>
      <x:c r="B5" s="42" t="str">
        <x:v>Meal</x:v>
      </x:c>
      <x:c r="C5" s="42" t="str">
        <x:v>Dish</x:v>
      </x:c>
      <x:c r="D5" s="42" t="str">
        <x:v>Food</x:v>
      </x:c>
      <x:c r="E5" s="42" t="str">
        <x:v>Amount g</x:v>
      </x:c>
      <x:c r="F5" s="42" t="str">
        <x:v>Weigh as</x:v>
      </x:c>
      <x:c r="G5" s="42" t="str">
        <x:v>kcal</x:v>
      </x:c>
      <x:c r="H5" s="42" t="str">
        <x:v>Protein g</x:v>
      </x:c>
      <x:c r="I5" s="42" t="str">
        <x:v>Carbs g</x:v>
      </x:c>
      <x:c r="J5" s="42" t="str">
        <x:v>Fat g</x:v>
      </x:c>
      <x:c r="K5" s="42" t="str">
        <x:v>Fibre g</x:v>
      </x:c>
    </x:row>
    <x:row r="6" ht="31" customHeight="1">
      <x:c r="A6" s="38" t="str">
        <x:v>Monday</x:v>
      </x:c>
      <x:c r="B6" s="38" t="str">
        <x:v>Meal 1</x:v>
      </x:c>
      <x:c r="C6" s="43" t="str">
        <x:v>Chicken thigh tomato pasta</x:v>
      </x:c>
      <x:c r="D6" s="43" t="str">
        <x:v>Chicken thigh fillets</x:v>
      </x:c>
      <x:c r="E6" s="44" t="n">
        <x:v>245</x:v>
      </x:c>
      <x:c r="F6" s="44" t="str">
        <x:v>Cooked</x:v>
      </x:c>
      <x:c r="G6" s="44" t="n">
        <x:f>E6/100*VLOOKUP(D6,'Food Data'!$A$6:$H$24,4,FALSE)</x:f>
        <x:v>411.6</x:v>
      </x:c>
      <x:c r="H6" s="44" t="n">
        <x:f>E6/100*VLOOKUP(D6,'Food Data'!$A$6:$H$24,5,FALSE)</x:f>
        <x:v>60.760000000000005</x:v>
      </x:c>
      <x:c r="I6" s="44" t="n">
        <x:f>E6/100*VLOOKUP(D6,'Food Data'!$A$6:$H$24,6,FALSE)</x:f>
        <x:v>0</x:v>
      </x:c>
      <x:c r="J6" s="44" t="n">
        <x:f>E6/100*VLOOKUP(D6,'Food Data'!$A$6:$H$24,7,FALSE)</x:f>
        <x:v>18.62</x:v>
      </x:c>
      <x:c r="K6" s="44" t="n">
        <x:f>E6/100*VLOOKUP(D6,'Food Data'!$A$6:$H$24,8,FALSE)</x:f>
        <x:v>0</x:v>
      </x:c>
    </x:row>
    <x:row r="7" ht="31" customHeight="1">
      <x:c r="A7" s="38" t="str">
        <x:v>Monday</x:v>
      </x:c>
      <x:c r="B7" s="38" t="str">
        <x:v>Meal 1</x:v>
      </x:c>
      <x:c r="C7" s="43" t="str">
        <x:v>Chicken thigh tomato pasta</x:v>
      </x:c>
      <x:c r="D7" s="43" t="str">
        <x:v>Fusilli pasta</x:v>
      </x:c>
      <x:c r="E7" s="44" t="n">
        <x:v>65</x:v>
      </x:c>
      <x:c r="F7" s="44" t="str">
        <x:v>Dry</x:v>
      </x:c>
      <x:c r="G7" s="44" t="n">
        <x:f>E7/100*VLOOKUP(D7,'Food Data'!$A$6:$H$24,4,FALSE)</x:f>
        <x:v>236.85999999999999</x:v>
      </x:c>
      <x:c r="H7" s="44" t="n">
        <x:f>E7/100*VLOOKUP(D7,'Food Data'!$A$6:$H$24,5,FALSE)</x:f>
        <x:v>7.93</x:v>
      </x:c>
      <x:c r="I7" s="44" t="n">
        <x:f>E7/100*VLOOKUP(D7,'Food Data'!$A$6:$H$24,6,FALSE)</x:f>
        <x:v>47.97</x:v>
      </x:c>
      <x:c r="J7" s="44" t="n">
        <x:f>E7/100*VLOOKUP(D7,'Food Data'!$A$6:$H$24,7,FALSE)</x:f>
        <x:v>1.04</x:v>
      </x:c>
      <x:c r="K7" s="44" t="n">
        <x:f>E7/100*VLOOKUP(D7,'Food Data'!$A$6:$H$24,8,FALSE)</x:f>
        <x:v>2.145</x:v>
      </x:c>
    </x:row>
    <x:row r="8" ht="31" customHeight="1">
      <x:c r="A8" s="38" t="str">
        <x:v>Monday</x:v>
      </x:c>
      <x:c r="B8" s="38" t="str">
        <x:v>Meal 1</x:v>
      </x:c>
      <x:c r="C8" s="43" t="str">
        <x:v>Chicken thigh tomato pasta</x:v>
      </x:c>
      <x:c r="D8" s="43" t="str">
        <x:v>Chunky vegetable pasta sauce</x:v>
      </x:c>
      <x:c r="E8" s="44" t="n">
        <x:v>125</x:v>
      </x:c>
      <x:c r="F8" s="44" t="str">
        <x:v>As sold</x:v>
      </x:c>
      <x:c r="G8" s="44" t="n">
        <x:f>E8/100*VLOOKUP(D8,'Food Data'!$A$6:$H$24,4,FALSE)</x:f>
        <x:v>52.5</x:v>
      </x:c>
      <x:c r="H8" s="44" t="n">
        <x:f>E8/100*VLOOKUP(D8,'Food Data'!$A$6:$H$24,5,FALSE)</x:f>
        <x:v>1.5</x:v>
      </x:c>
      <x:c r="I8" s="44" t="n">
        <x:f>E8/100*VLOOKUP(D8,'Food Data'!$A$6:$H$24,6,FALSE)</x:f>
        <x:v>9.5</x:v>
      </x:c>
      <x:c r="J8" s="44" t="n">
        <x:f>E8/100*VLOOKUP(D8,'Food Data'!$A$6:$H$24,7,FALSE)</x:f>
        <x:v>0.75</x:v>
      </x:c>
      <x:c r="K8" s="44" t="n">
        <x:f>E8/100*VLOOKUP(D8,'Food Data'!$A$6:$H$24,8,FALSE)</x:f>
        <x:v>0.75</x:v>
      </x:c>
    </x:row>
    <x:row r="9" ht="31" customHeight="1">
      <x:c r="A9" s="38" t="str">
        <x:v>Monday</x:v>
      </x:c>
      <x:c r="B9" s="38" t="str">
        <x:v>Meal 1</x:v>
      </x:c>
      <x:c r="C9" s="43" t="str">
        <x:v>Chicken thigh tomato pasta</x:v>
      </x:c>
      <x:c r="D9" s="43" t="str">
        <x:v>Broccoli</x:v>
      </x:c>
      <x:c r="E9" s="44" t="n">
        <x:v>200</x:v>
      </x:c>
      <x:c r="F9" s="44" t="str">
        <x:v>Raw/frozen</x:v>
      </x:c>
      <x:c r="G9" s="44" t="n">
        <x:f>E9/100*VLOOKUP(D9,'Food Data'!$A$6:$H$24,4,FALSE)</x:f>
        <x:v>68</x:v>
      </x:c>
      <x:c r="H9" s="44" t="n">
        <x:f>E9/100*VLOOKUP(D9,'Food Data'!$A$6:$H$24,5,FALSE)</x:f>
        <x:v>5.6</x:v>
      </x:c>
      <x:c r="I9" s="44" t="n">
        <x:f>E9/100*VLOOKUP(D9,'Food Data'!$A$6:$H$24,6,FALSE)</x:f>
        <x:v>5.4</x:v>
      </x:c>
      <x:c r="J9" s="44" t="n">
        <x:f>E9/100*VLOOKUP(D9,'Food Data'!$A$6:$H$24,7,FALSE)</x:f>
        <x:v>0.8</x:v>
      </x:c>
      <x:c r="K9" s="44" t="n">
        <x:f>E9/100*VLOOKUP(D9,'Food Data'!$A$6:$H$24,8,FALSE)</x:f>
        <x:v>6</x:v>
      </x:c>
    </x:row>
    <x:row r="10" ht="31" customHeight="1">
      <x:c r="A10" s="38" t="str">
        <x:v>Monday</x:v>
      </x:c>
      <x:c r="B10" s="38" t="str">
        <x:v>Meal 1</x:v>
      </x:c>
      <x:c r="C10" s="43" t="str">
        <x:v>Chicken thigh tomato pasta</x:v>
      </x:c>
      <x:c r="D10" s="43" t="str">
        <x:v>Garden peas</x:v>
      </x:c>
      <x:c r="E10" s="44" t="n">
        <x:v>100</x:v>
      </x:c>
      <x:c r="F10" s="44" t="str">
        <x:v>Frozen</x:v>
      </x:c>
      <x:c r="G10" s="44" t="n">
        <x:f>E10/100*VLOOKUP(D10,'Food Data'!$A$6:$H$24,4,FALSE)</x:f>
        <x:v>85</x:v>
      </x:c>
      <x:c r="H10" s="44" t="n">
        <x:f>E10/100*VLOOKUP(D10,'Food Data'!$A$6:$H$24,5,FALSE)</x:f>
        <x:v>5.7</x:v>
      </x:c>
      <x:c r="I10" s="44" t="n">
        <x:f>E10/100*VLOOKUP(D10,'Food Data'!$A$6:$H$24,6,FALSE)</x:f>
        <x:v>10.8</x:v>
      </x:c>
      <x:c r="J10" s="44" t="n">
        <x:f>E10/100*VLOOKUP(D10,'Food Data'!$A$6:$H$24,7,FALSE)</x:f>
        <x:v>0.9</x:v>
      </x:c>
      <x:c r="K10" s="44" t="n">
        <x:f>E10/100*VLOOKUP(D10,'Food Data'!$A$6:$H$24,8,FALSE)</x:f>
        <x:v>5.7</x:v>
      </x:c>
    </x:row>
    <x:row r="11" ht="31" customHeight="1">
      <x:c r="A11" s="38" t="str">
        <x:v>Monday</x:v>
      </x:c>
      <x:c r="B11" s="38" t="str">
        <x:v>Meal 1</x:v>
      </x:c>
      <x:c r="C11" s="43" t="str">
        <x:v>Chicken thigh tomato pasta</x:v>
      </x:c>
      <x:c r="D11" s="43" t="str">
        <x:v>Mixed peppers</x:v>
      </x:c>
      <x:c r="E11" s="44" t="n">
        <x:v>100</x:v>
      </x:c>
      <x:c r="F11" s="44" t="str">
        <x:v>Raw</x:v>
      </x:c>
      <x:c r="G11" s="44" t="n">
        <x:f>E11/100*VLOOKUP(D11,'Food Data'!$A$6:$H$24,4,FALSE)</x:f>
        <x:v>26</x:v>
      </x:c>
      <x:c r="H11" s="44" t="n">
        <x:f>E11/100*VLOOKUP(D11,'Food Data'!$A$6:$H$24,5,FALSE)</x:f>
        <x:v>1</x:v>
      </x:c>
      <x:c r="I11" s="44" t="n">
        <x:f>E11/100*VLOOKUP(D11,'Food Data'!$A$6:$H$24,6,FALSE)</x:f>
        <x:v>4.4</x:v>
      </x:c>
      <x:c r="J11" s="44" t="n">
        <x:f>E11/100*VLOOKUP(D11,'Food Data'!$A$6:$H$24,7,FALSE)</x:f>
        <x:v>0.3</x:v>
      </x:c>
      <x:c r="K11" s="44" t="n">
        <x:f>E11/100*VLOOKUP(D11,'Food Data'!$A$6:$H$24,8,FALSE)</x:f>
        <x:v>1.7</x:v>
      </x:c>
    </x:row>
    <x:row r="12" ht="31" customHeight="1">
      <x:c r="A12" s="38" t="str">
        <x:v>Monday</x:v>
      </x:c>
      <x:c r="B12" s="38" t="str">
        <x:v>Meal 1</x:v>
      </x:c>
      <x:c r="C12" s="43" t="str">
        <x:v>Chicken thigh tomato pasta</x:v>
      </x:c>
      <x:c r="D12" s="43" t="str">
        <x:v>Spring onions</x:v>
      </x:c>
      <x:c r="E12" s="44" t="n">
        <x:v>20</x:v>
      </x:c>
      <x:c r="F12" s="44" t="str">
        <x:v>Raw</x:v>
      </x:c>
      <x:c r="G12" s="44" t="n">
        <x:f>E12/100*VLOOKUP(D12,'Food Data'!$A$6:$H$24,4,FALSE)</x:f>
        <x:v>5.4</x:v>
      </x:c>
      <x:c r="H12" s="44" t="n">
        <x:f>E12/100*VLOOKUP(D12,'Food Data'!$A$6:$H$24,5,FALSE)</x:f>
        <x:v>0.36000000000000004</x:v>
      </x:c>
      <x:c r="I12" s="44" t="n">
        <x:f>E12/100*VLOOKUP(D12,'Food Data'!$A$6:$H$24,6,FALSE)</x:f>
        <x:v>0.86</x:v>
      </x:c>
      <x:c r="J12" s="44" t="n">
        <x:f>E12/100*VLOOKUP(D12,'Food Data'!$A$6:$H$24,7,FALSE)</x:f>
        <x:v>0.04000000000000001</x:v>
      </x:c>
      <x:c r="K12" s="44" t="n">
        <x:f>E12/100*VLOOKUP(D12,'Food Data'!$A$6:$H$24,8,FALSE)</x:f>
        <x:v>0.52</x:v>
      </x:c>
    </x:row>
    <x:row r="13" ht="31" customHeight="1">
      <x:c r="A13" s="38" t="str">
        <x:v>Monday</x:v>
      </x:c>
      <x:c r="B13" s="38" t="str">
        <x:v>Meal 2</x:v>
      </x:c>
      <x:c r="C13" s="43" t="str">
        <x:v>Chicken thigh rice bowl</x:v>
      </x:c>
      <x:c r="D13" s="43" t="str">
        <x:v>Chicken thigh fillets</x:v>
      </x:c>
      <x:c r="E13" s="44" t="n">
        <x:v>239</x:v>
      </x:c>
      <x:c r="F13" s="44" t="str">
        <x:v>Cooked</x:v>
      </x:c>
      <x:c r="G13" s="44" t="n">
        <x:f>E13/100*VLOOKUP(D13,'Food Data'!$A$6:$H$24,4,FALSE)</x:f>
        <x:v>401.52000000000004</x:v>
      </x:c>
      <x:c r="H13" s="44" t="n">
        <x:f>E13/100*VLOOKUP(D13,'Food Data'!$A$6:$H$24,5,FALSE)</x:f>
        <x:v>59.272000000000006</x:v>
      </x:c>
      <x:c r="I13" s="44" t="n">
        <x:f>E13/100*VLOOKUP(D13,'Food Data'!$A$6:$H$24,6,FALSE)</x:f>
        <x:v>0</x:v>
      </x:c>
      <x:c r="J13" s="44" t="n">
        <x:f>E13/100*VLOOKUP(D13,'Food Data'!$A$6:$H$24,7,FALSE)</x:f>
        <x:v>18.164</x:v>
      </x:c>
      <x:c r="K13" s="44" t="n">
        <x:f>E13/100*VLOOKUP(D13,'Food Data'!$A$6:$H$24,8,FALSE)</x:f>
        <x:v>0</x:v>
      </x:c>
    </x:row>
    <x:row r="14" ht="31" customHeight="1">
      <x:c r="A14" s="38" t="str">
        <x:v>Monday</x:v>
      </x:c>
      <x:c r="B14" s="38" t="str">
        <x:v>Meal 2</x:v>
      </x:c>
      <x:c r="C14" s="43" t="str">
        <x:v>Chicken thigh rice bowl</x:v>
      </x:c>
      <x:c r="D14" s="43" t="str">
        <x:v>White basmati rice</x:v>
      </x:c>
      <x:c r="E14" s="44" t="n">
        <x:v>58</x:v>
      </x:c>
      <x:c r="F14" s="44" t="str">
        <x:v>Dry</x:v>
      </x:c>
      <x:c r="G14" s="44" t="n">
        <x:f>E14/100*VLOOKUP(D14,'Food Data'!$A$6:$H$24,4,FALSE)</x:f>
        <x:v>203.57999999999998</x:v>
      </x:c>
      <x:c r="H14" s="44" t="n">
        <x:f>E14/100*VLOOKUP(D14,'Food Data'!$A$6:$H$24,5,FALSE)</x:f>
        <x:v>4.524</x:v>
      </x:c>
      <x:c r="I14" s="44" t="n">
        <x:f>E14/100*VLOOKUP(D14,'Food Data'!$A$6:$H$24,6,FALSE)</x:f>
        <x:v>45.065999999999995</x:v>
      </x:c>
      <x:c r="J14" s="44" t="n">
        <x:f>E14/100*VLOOKUP(D14,'Food Data'!$A$6:$H$24,7,FALSE)</x:f>
        <x:v>0.46399999999999997</x:v>
      </x:c>
      <x:c r="K14" s="44" t="n">
        <x:f>E14/100*VLOOKUP(D14,'Food Data'!$A$6:$H$24,8,FALSE)</x:f>
        <x:v>0.58</x:v>
      </x:c>
    </x:row>
    <x:row r="15" ht="31" customHeight="1">
      <x:c r="A15" s="38" t="str">
        <x:v>Monday</x:v>
      </x:c>
      <x:c r="B15" s="38" t="str">
        <x:v>Meal 2</x:v>
      </x:c>
      <x:c r="C15" s="43" t="str">
        <x:v>Chicken thigh rice bowl</x:v>
      </x:c>
      <x:c r="D15" s="43" t="str">
        <x:v>Avocado flesh</x:v>
      </x:c>
      <x:c r="E15" s="44" t="n">
        <x:v>40</x:v>
      </x:c>
      <x:c r="F15" s="44" t="str">
        <x:v>Flesh</x:v>
      </x:c>
      <x:c r="G15" s="44" t="n">
        <x:f>E15/100*VLOOKUP(D15,'Food Data'!$A$6:$H$24,4,FALSE)</x:f>
        <x:v>78.80000000000001</x:v>
      </x:c>
      <x:c r="H15" s="44" t="n">
        <x:f>E15/100*VLOOKUP(D15,'Food Data'!$A$6:$H$24,5,FALSE)</x:f>
        <x:v>0.76</x:v>
      </x:c>
      <x:c r="I15" s="44" t="n">
        <x:f>E15/100*VLOOKUP(D15,'Food Data'!$A$6:$H$24,6,FALSE)</x:f>
        <x:v>0.76</x:v>
      </x:c>
      <x:c r="J15" s="44" t="n">
        <x:f>E15/100*VLOOKUP(D15,'Food Data'!$A$6:$H$24,7,FALSE)</x:f>
        <x:v>7.800000000000001</x:v>
      </x:c>
      <x:c r="K15" s="44" t="n">
        <x:f>E15/100*VLOOKUP(D15,'Food Data'!$A$6:$H$24,8,FALSE)</x:f>
        <x:v>1.36</x:v>
      </x:c>
    </x:row>
    <x:row r="16" ht="31" customHeight="1">
      <x:c r="A16" s="38" t="str">
        <x:v>Monday</x:v>
      </x:c>
      <x:c r="B16" s="38" t="str">
        <x:v>Meal 2</x:v>
      </x:c>
      <x:c r="C16" s="43" t="str">
        <x:v>Chicken thigh rice bowl</x:v>
      </x:c>
      <x:c r="D16" s="43" t="str">
        <x:v>Olive oil</x:v>
      </x:c>
      <x:c r="E16" s="44" t="n">
        <x:v>5</x:v>
      </x:c>
      <x:c r="F16" s="44" t="str">
        <x:v>As sold</x:v>
      </x:c>
      <x:c r="G16" s="44" t="n">
        <x:f>E16/100*VLOOKUP(D16,'Food Data'!$A$6:$H$24,4,FALSE)</x:f>
        <x:v>45</x:v>
      </x:c>
      <x:c r="H16" s="44" t="n">
        <x:f>E16/100*VLOOKUP(D16,'Food Data'!$A$6:$H$24,5,FALSE)</x:f>
        <x:v>0</x:v>
      </x:c>
      <x:c r="I16" s="44" t="n">
        <x:f>E16/100*VLOOKUP(D16,'Food Data'!$A$6:$H$24,6,FALSE)</x:f>
        <x:v>0</x:v>
      </x:c>
      <x:c r="J16" s="44" t="n">
        <x:f>E16/100*VLOOKUP(D16,'Food Data'!$A$6:$H$24,7,FALSE)</x:f>
        <x:v>5</x:v>
      </x:c>
      <x:c r="K16" s="44" t="n">
        <x:f>E16/100*VLOOKUP(D16,'Food Data'!$A$6:$H$24,8,FALSE)</x:f>
        <x:v>0</x:v>
      </x:c>
    </x:row>
    <x:row r="17" ht="31" customHeight="1">
      <x:c r="A17" s="38" t="str">
        <x:v>Monday</x:v>
      </x:c>
      <x:c r="B17" s="38" t="str">
        <x:v>Meal 2</x:v>
      </x:c>
      <x:c r="C17" s="43" t="str">
        <x:v>Chicken thigh rice bowl</x:v>
      </x:c>
      <x:c r="D17" s="43" t="str">
        <x:v>Broccoli</x:v>
      </x:c>
      <x:c r="E17" s="44" t="n">
        <x:v>200</x:v>
      </x:c>
      <x:c r="F17" s="44" t="str">
        <x:v>Raw/frozen</x:v>
      </x:c>
      <x:c r="G17" s="44" t="n">
        <x:f>E17/100*VLOOKUP(D17,'Food Data'!$A$6:$H$24,4,FALSE)</x:f>
        <x:v>68</x:v>
      </x:c>
      <x:c r="H17" s="44" t="n">
        <x:f>E17/100*VLOOKUP(D17,'Food Data'!$A$6:$H$24,5,FALSE)</x:f>
        <x:v>5.6</x:v>
      </x:c>
      <x:c r="I17" s="44" t="n">
        <x:f>E17/100*VLOOKUP(D17,'Food Data'!$A$6:$H$24,6,FALSE)</x:f>
        <x:v>5.4</x:v>
      </x:c>
      <x:c r="J17" s="44" t="n">
        <x:f>E17/100*VLOOKUP(D17,'Food Data'!$A$6:$H$24,7,FALSE)</x:f>
        <x:v>0.8</x:v>
      </x:c>
      <x:c r="K17" s="44" t="n">
        <x:f>E17/100*VLOOKUP(D17,'Food Data'!$A$6:$H$24,8,FALSE)</x:f>
        <x:v>6</x:v>
      </x:c>
    </x:row>
    <x:row r="18" ht="31" customHeight="1">
      <x:c r="A18" s="38" t="str">
        <x:v>Monday</x:v>
      </x:c>
      <x:c r="B18" s="38" t="str">
        <x:v>Meal 2</x:v>
      </x:c>
      <x:c r="C18" s="43" t="str">
        <x:v>Chicken thigh rice bowl</x:v>
      </x:c>
      <x:c r="D18" s="43" t="str">
        <x:v>Garden peas</x:v>
      </x:c>
      <x:c r="E18" s="44" t="n">
        <x:v>100</x:v>
      </x:c>
      <x:c r="F18" s="44" t="str">
        <x:v>Frozen</x:v>
      </x:c>
      <x:c r="G18" s="44" t="n">
        <x:f>E18/100*VLOOKUP(D18,'Food Data'!$A$6:$H$24,4,FALSE)</x:f>
        <x:v>85</x:v>
      </x:c>
      <x:c r="H18" s="44" t="n">
        <x:f>E18/100*VLOOKUP(D18,'Food Data'!$A$6:$H$24,5,FALSE)</x:f>
        <x:v>5.7</x:v>
      </x:c>
      <x:c r="I18" s="44" t="n">
        <x:f>E18/100*VLOOKUP(D18,'Food Data'!$A$6:$H$24,6,FALSE)</x:f>
        <x:v>10.8</x:v>
      </x:c>
      <x:c r="J18" s="44" t="n">
        <x:f>E18/100*VLOOKUP(D18,'Food Data'!$A$6:$H$24,7,FALSE)</x:f>
        <x:v>0.9</x:v>
      </x:c>
      <x:c r="K18" s="44" t="n">
        <x:f>E18/100*VLOOKUP(D18,'Food Data'!$A$6:$H$24,8,FALSE)</x:f>
        <x:v>5.7</x:v>
      </x:c>
    </x:row>
    <x:row r="19" ht="31" customHeight="1">
      <x:c r="A19" s="38" t="str">
        <x:v>Monday</x:v>
      </x:c>
      <x:c r="B19" s="38" t="str">
        <x:v>Meal 2</x:v>
      </x:c>
      <x:c r="C19" s="43" t="str">
        <x:v>Chicken thigh rice bowl</x:v>
      </x:c>
      <x:c r="D19" s="43" t="str">
        <x:v>Mixed peppers</x:v>
      </x:c>
      <x:c r="E19" s="44" t="n">
        <x:v>100</x:v>
      </x:c>
      <x:c r="F19" s="44" t="str">
        <x:v>Raw</x:v>
      </x:c>
      <x:c r="G19" s="44" t="n">
        <x:f>E19/100*VLOOKUP(D19,'Food Data'!$A$6:$H$24,4,FALSE)</x:f>
        <x:v>26</x:v>
      </x:c>
      <x:c r="H19" s="44" t="n">
        <x:f>E19/100*VLOOKUP(D19,'Food Data'!$A$6:$H$24,5,FALSE)</x:f>
        <x:v>1</x:v>
      </x:c>
      <x:c r="I19" s="44" t="n">
        <x:f>E19/100*VLOOKUP(D19,'Food Data'!$A$6:$H$24,6,FALSE)</x:f>
        <x:v>4.4</x:v>
      </x:c>
      <x:c r="J19" s="44" t="n">
        <x:f>E19/100*VLOOKUP(D19,'Food Data'!$A$6:$H$24,7,FALSE)</x:f>
        <x:v>0.3</x:v>
      </x:c>
      <x:c r="K19" s="44" t="n">
        <x:f>E19/100*VLOOKUP(D19,'Food Data'!$A$6:$H$24,8,FALSE)</x:f>
        <x:v>1.7</x:v>
      </x:c>
    </x:row>
    <x:row r="20" ht="31" customHeight="1">
      <x:c r="A20" s="38" t="str">
        <x:v>Monday</x:v>
      </x:c>
      <x:c r="B20" s="38" t="str">
        <x:v>Meal 2</x:v>
      </x:c>
      <x:c r="C20" s="43" t="str">
        <x:v>Chicken thigh rice bowl</x:v>
      </x:c>
      <x:c r="D20" s="43" t="str">
        <x:v>Spring onions</x:v>
      </x:c>
      <x:c r="E20" s="44" t="n">
        <x:v>20</x:v>
      </x:c>
      <x:c r="F20" s="44" t="str">
        <x:v>Raw</x:v>
      </x:c>
      <x:c r="G20" s="44" t="n">
        <x:f>E20/100*VLOOKUP(D20,'Food Data'!$A$6:$H$24,4,FALSE)</x:f>
        <x:v>5.4</x:v>
      </x:c>
      <x:c r="H20" s="44" t="n">
        <x:f>E20/100*VLOOKUP(D20,'Food Data'!$A$6:$H$24,5,FALSE)</x:f>
        <x:v>0.36000000000000004</x:v>
      </x:c>
      <x:c r="I20" s="44" t="n">
        <x:f>E20/100*VLOOKUP(D20,'Food Data'!$A$6:$H$24,6,FALSE)</x:f>
        <x:v>0.86</x:v>
      </x:c>
      <x:c r="J20" s="44" t="n">
        <x:f>E20/100*VLOOKUP(D20,'Food Data'!$A$6:$H$24,7,FALSE)</x:f>
        <x:v>0.04000000000000001</x:v>
      </x:c>
      <x:c r="K20" s="44" t="n">
        <x:f>E20/100*VLOOKUP(D20,'Food Data'!$A$6:$H$24,8,FALSE)</x:f>
        <x:v>0.52</x:v>
      </x:c>
    </x:row>
    <x:row r="21" ht="31" customHeight="1">
      <x:c r="A21" s="38" t="str">
        <x:v>Tuesday</x:v>
      </x:c>
      <x:c r="B21" s="38" t="str">
        <x:v>Meal 1</x:v>
      </x:c>
      <x:c r="C21" s="43" t="str">
        <x:v>5% mince tomato pasta</x:v>
      </x:c>
      <x:c r="D21" s="43" t="str">
        <x:v>5% beef mince</x:v>
      </x:c>
      <x:c r="E21" s="44" t="n">
        <x:v>175</x:v>
      </x:c>
      <x:c r="F21" s="44" t="str">
        <x:v>Cooked</x:v>
      </x:c>
      <x:c r="G21" s="44" t="n">
        <x:f>E21/100*VLOOKUP(D21,'Food Data'!$A$6:$H$24,4,FALSE)</x:f>
        <x:v>294</x:v>
      </x:c>
      <x:c r="H21" s="44" t="n">
        <x:f>E21/100*VLOOKUP(D21,'Food Data'!$A$6:$H$24,5,FALSE)</x:f>
        <x:v>54.775</x:v>
      </x:c>
      <x:c r="I21" s="44" t="n">
        <x:f>E21/100*VLOOKUP(D21,'Food Data'!$A$6:$H$24,6,FALSE)</x:f>
        <x:v>0</x:v>
      </x:c>
      <x:c r="J21" s="44" t="n">
        <x:f>E21/100*VLOOKUP(D21,'Food Data'!$A$6:$H$24,7,FALSE)</x:f>
        <x:v>8.225</x:v>
      </x:c>
      <x:c r="K21" s="44" t="n">
        <x:f>E21/100*VLOOKUP(D21,'Food Data'!$A$6:$H$24,8,FALSE)</x:f>
        <x:v>0</x:v>
      </x:c>
    </x:row>
    <x:row r="22" ht="31" customHeight="1">
      <x:c r="A22" s="38" t="str">
        <x:v>Tuesday</x:v>
      </x:c>
      <x:c r="B22" s="38" t="str">
        <x:v>Meal 1</x:v>
      </x:c>
      <x:c r="C22" s="43" t="str">
        <x:v>5% mince tomato pasta</x:v>
      </x:c>
      <x:c r="D22" s="43" t="str">
        <x:v>Fusilli pasta</x:v>
      </x:c>
      <x:c r="E22" s="44" t="n">
        <x:v>60</x:v>
      </x:c>
      <x:c r="F22" s="44" t="str">
        <x:v>Dry</x:v>
      </x:c>
      <x:c r="G22" s="44" t="n">
        <x:f>E22/100*VLOOKUP(D22,'Food Data'!$A$6:$H$24,4,FALSE)</x:f>
        <x:v>218.64</x:v>
      </x:c>
      <x:c r="H22" s="44" t="n">
        <x:f>E22/100*VLOOKUP(D22,'Food Data'!$A$6:$H$24,5,FALSE)</x:f>
        <x:v>7.319999999999999</x:v>
      </x:c>
      <x:c r="I22" s="44" t="n">
        <x:f>E22/100*VLOOKUP(D22,'Food Data'!$A$6:$H$24,6,FALSE)</x:f>
        <x:v>44.279999999999994</x:v>
      </x:c>
      <x:c r="J22" s="44" t="n">
        <x:f>E22/100*VLOOKUP(D22,'Food Data'!$A$6:$H$24,7,FALSE)</x:f>
        <x:v>0.96</x:v>
      </x:c>
      <x:c r="K22" s="44" t="n">
        <x:f>E22/100*VLOOKUP(D22,'Food Data'!$A$6:$H$24,8,FALSE)</x:f>
        <x:v>1.9799999999999998</x:v>
      </x:c>
    </x:row>
    <x:row r="23" ht="31" customHeight="1">
      <x:c r="A23" s="38" t="str">
        <x:v>Tuesday</x:v>
      </x:c>
      <x:c r="B23" s="38" t="str">
        <x:v>Meal 1</x:v>
      </x:c>
      <x:c r="C23" s="43" t="str">
        <x:v>5% mince tomato pasta</x:v>
      </x:c>
      <x:c r="D23" s="43" t="str">
        <x:v>Chunky vegetable pasta sauce</x:v>
      </x:c>
      <x:c r="E23" s="44" t="n">
        <x:v>125</x:v>
      </x:c>
      <x:c r="F23" s="44" t="str">
        <x:v>As sold</x:v>
      </x:c>
      <x:c r="G23" s="44" t="n">
        <x:f>E23/100*VLOOKUP(D23,'Food Data'!$A$6:$H$24,4,FALSE)</x:f>
        <x:v>52.5</x:v>
      </x:c>
      <x:c r="H23" s="44" t="n">
        <x:f>E23/100*VLOOKUP(D23,'Food Data'!$A$6:$H$24,5,FALSE)</x:f>
        <x:v>1.5</x:v>
      </x:c>
      <x:c r="I23" s="44" t="n">
        <x:f>E23/100*VLOOKUP(D23,'Food Data'!$A$6:$H$24,6,FALSE)</x:f>
        <x:v>9.5</x:v>
      </x:c>
      <x:c r="J23" s="44" t="n">
        <x:f>E23/100*VLOOKUP(D23,'Food Data'!$A$6:$H$24,7,FALSE)</x:f>
        <x:v>0.75</x:v>
      </x:c>
      <x:c r="K23" s="44" t="n">
        <x:f>E23/100*VLOOKUP(D23,'Food Data'!$A$6:$H$24,8,FALSE)</x:f>
        <x:v>0.75</x:v>
      </x:c>
    </x:row>
    <x:row r="24" ht="31" customHeight="1">
      <x:c r="A24" s="38" t="str">
        <x:v>Tuesday</x:v>
      </x:c>
      <x:c r="B24" s="38" t="str">
        <x:v>Meal 1</x:v>
      </x:c>
      <x:c r="C24" s="43" t="str">
        <x:v>5% mince tomato pasta</x:v>
      </x:c>
      <x:c r="D24" s="43" t="str">
        <x:v>Greek feta</x:v>
      </x:c>
      <x:c r="E24" s="44" t="n">
        <x:v>40</x:v>
      </x:c>
      <x:c r="F24" s="44" t="str">
        <x:v>As sold</x:v>
      </x:c>
      <x:c r="G24" s="44" t="n">
        <x:f>E24/100*VLOOKUP(D24,'Food Data'!$A$6:$H$24,4,FALSE)</x:f>
        <x:v>110.4</x:v>
      </x:c>
      <x:c r="H24" s="44" t="n">
        <x:f>E24/100*VLOOKUP(D24,'Food Data'!$A$6:$H$24,5,FALSE)</x:f>
        <x:v>6.4</x:v>
      </x:c>
      <x:c r="I24" s="44" t="n">
        <x:f>E24/100*VLOOKUP(D24,'Food Data'!$A$6:$H$24,6,FALSE)</x:f>
        <x:v>0.27999999999999997</x:v>
      </x:c>
      <x:c r="J24" s="44" t="n">
        <x:f>E24/100*VLOOKUP(D24,'Food Data'!$A$6:$H$24,7,FALSE)</x:f>
        <x:v>9.200000000000001</x:v>
      </x:c>
      <x:c r="K24" s="44" t="n">
        <x:f>E24/100*VLOOKUP(D24,'Food Data'!$A$6:$H$24,8,FALSE)</x:f>
        <x:v>0</x:v>
      </x:c>
    </x:row>
    <x:row r="25" ht="31" customHeight="1">
      <x:c r="A25" s="38" t="str">
        <x:v>Tuesday</x:v>
      </x:c>
      <x:c r="B25" s="38" t="str">
        <x:v>Meal 1</x:v>
      </x:c>
      <x:c r="C25" s="43" t="str">
        <x:v>5% mince tomato pasta</x:v>
      </x:c>
      <x:c r="D25" s="43" t="str">
        <x:v>Broccoli</x:v>
      </x:c>
      <x:c r="E25" s="44" t="n">
        <x:v>200</x:v>
      </x:c>
      <x:c r="F25" s="44" t="str">
        <x:v>Raw/frozen</x:v>
      </x:c>
      <x:c r="G25" s="44" t="n">
        <x:f>E25/100*VLOOKUP(D25,'Food Data'!$A$6:$H$24,4,FALSE)</x:f>
        <x:v>68</x:v>
      </x:c>
      <x:c r="H25" s="44" t="n">
        <x:f>E25/100*VLOOKUP(D25,'Food Data'!$A$6:$H$24,5,FALSE)</x:f>
        <x:v>5.6</x:v>
      </x:c>
      <x:c r="I25" s="44" t="n">
        <x:f>E25/100*VLOOKUP(D25,'Food Data'!$A$6:$H$24,6,FALSE)</x:f>
        <x:v>5.4</x:v>
      </x:c>
      <x:c r="J25" s="44" t="n">
        <x:f>E25/100*VLOOKUP(D25,'Food Data'!$A$6:$H$24,7,FALSE)</x:f>
        <x:v>0.8</x:v>
      </x:c>
      <x:c r="K25" s="44" t="n">
        <x:f>E25/100*VLOOKUP(D25,'Food Data'!$A$6:$H$24,8,FALSE)</x:f>
        <x:v>6</x:v>
      </x:c>
    </x:row>
    <x:row r="26" ht="31" customHeight="1">
      <x:c r="A26" s="38" t="str">
        <x:v>Tuesday</x:v>
      </x:c>
      <x:c r="B26" s="38" t="str">
        <x:v>Meal 1</x:v>
      </x:c>
      <x:c r="C26" s="43" t="str">
        <x:v>5% mince tomato pasta</x:v>
      </x:c>
      <x:c r="D26" s="43" t="str">
        <x:v>Garden peas</x:v>
      </x:c>
      <x:c r="E26" s="44" t="n">
        <x:v>100</x:v>
      </x:c>
      <x:c r="F26" s="44" t="str">
        <x:v>Frozen</x:v>
      </x:c>
      <x:c r="G26" s="44" t="n">
        <x:f>E26/100*VLOOKUP(D26,'Food Data'!$A$6:$H$24,4,FALSE)</x:f>
        <x:v>85</x:v>
      </x:c>
      <x:c r="H26" s="44" t="n">
        <x:f>E26/100*VLOOKUP(D26,'Food Data'!$A$6:$H$24,5,FALSE)</x:f>
        <x:v>5.7</x:v>
      </x:c>
      <x:c r="I26" s="44" t="n">
        <x:f>E26/100*VLOOKUP(D26,'Food Data'!$A$6:$H$24,6,FALSE)</x:f>
        <x:v>10.8</x:v>
      </x:c>
      <x:c r="J26" s="44" t="n">
        <x:f>E26/100*VLOOKUP(D26,'Food Data'!$A$6:$H$24,7,FALSE)</x:f>
        <x:v>0.9</x:v>
      </x:c>
      <x:c r="K26" s="44" t="n">
        <x:f>E26/100*VLOOKUP(D26,'Food Data'!$A$6:$H$24,8,FALSE)</x:f>
        <x:v>5.7</x:v>
      </x:c>
    </x:row>
    <x:row r="27" ht="31" customHeight="1">
      <x:c r="A27" s="38" t="str">
        <x:v>Tuesday</x:v>
      </x:c>
      <x:c r="B27" s="38" t="str">
        <x:v>Meal 1</x:v>
      </x:c>
      <x:c r="C27" s="43" t="str">
        <x:v>5% mince tomato pasta</x:v>
      </x:c>
      <x:c r="D27" s="43" t="str">
        <x:v>Mixed peppers</x:v>
      </x:c>
      <x:c r="E27" s="44" t="n">
        <x:v>100</x:v>
      </x:c>
      <x:c r="F27" s="44" t="str">
        <x:v>Raw</x:v>
      </x:c>
      <x:c r="G27" s="44" t="n">
        <x:f>E27/100*VLOOKUP(D27,'Food Data'!$A$6:$H$24,4,FALSE)</x:f>
        <x:v>26</x:v>
      </x:c>
      <x:c r="H27" s="44" t="n">
        <x:f>E27/100*VLOOKUP(D27,'Food Data'!$A$6:$H$24,5,FALSE)</x:f>
        <x:v>1</x:v>
      </x:c>
      <x:c r="I27" s="44" t="n">
        <x:f>E27/100*VLOOKUP(D27,'Food Data'!$A$6:$H$24,6,FALSE)</x:f>
        <x:v>4.4</x:v>
      </x:c>
      <x:c r="J27" s="44" t="n">
        <x:f>E27/100*VLOOKUP(D27,'Food Data'!$A$6:$H$24,7,FALSE)</x:f>
        <x:v>0.3</x:v>
      </x:c>
      <x:c r="K27" s="44" t="n">
        <x:f>E27/100*VLOOKUP(D27,'Food Data'!$A$6:$H$24,8,FALSE)</x:f>
        <x:v>1.7</x:v>
      </x:c>
    </x:row>
    <x:row r="28" ht="31" customHeight="1">
      <x:c r="A28" s="38" t="str">
        <x:v>Tuesday</x:v>
      </x:c>
      <x:c r="B28" s="38" t="str">
        <x:v>Meal 1</x:v>
      </x:c>
      <x:c r="C28" s="43" t="str">
        <x:v>5% mince tomato pasta</x:v>
      </x:c>
      <x:c r="D28" s="43" t="str">
        <x:v>Spring onions</x:v>
      </x:c>
      <x:c r="E28" s="44" t="n">
        <x:v>20</x:v>
      </x:c>
      <x:c r="F28" s="44" t="str">
        <x:v>Raw</x:v>
      </x:c>
      <x:c r="G28" s="44" t="n">
        <x:f>E28/100*VLOOKUP(D28,'Food Data'!$A$6:$H$24,4,FALSE)</x:f>
        <x:v>5.4</x:v>
      </x:c>
      <x:c r="H28" s="44" t="n">
        <x:f>E28/100*VLOOKUP(D28,'Food Data'!$A$6:$H$24,5,FALSE)</x:f>
        <x:v>0.36000000000000004</x:v>
      </x:c>
      <x:c r="I28" s="44" t="n">
        <x:f>E28/100*VLOOKUP(D28,'Food Data'!$A$6:$H$24,6,FALSE)</x:f>
        <x:v>0.86</x:v>
      </x:c>
      <x:c r="J28" s="44" t="n">
        <x:f>E28/100*VLOOKUP(D28,'Food Data'!$A$6:$H$24,7,FALSE)</x:f>
        <x:v>0.04000000000000001</x:v>
      </x:c>
      <x:c r="K28" s="44" t="n">
        <x:f>E28/100*VLOOKUP(D28,'Food Data'!$A$6:$H$24,8,FALSE)</x:f>
        <x:v>0.52</x:v>
      </x:c>
    </x:row>
    <x:row r="29" ht="31" customHeight="1">
      <x:c r="A29" s="38" t="str">
        <x:v>Tuesday</x:v>
      </x:c>
      <x:c r="B29" s="38" t="str">
        <x:v>Meal 2</x:v>
      </x:c>
      <x:c r="C29" s="43" t="str">
        <x:v>5% mince rice bowl</x:v>
      </x:c>
      <x:c r="D29" s="43" t="str">
        <x:v>5% beef mince</x:v>
      </x:c>
      <x:c r="E29" s="44" t="n">
        <x:v>187</x:v>
      </x:c>
      <x:c r="F29" s="44" t="str">
        <x:v>Cooked</x:v>
      </x:c>
      <x:c r="G29" s="44" t="n">
        <x:f>E29/100*VLOOKUP(D29,'Food Data'!$A$6:$H$24,4,FALSE)</x:f>
        <x:v>314.16</x:v>
      </x:c>
      <x:c r="H29" s="44" t="n">
        <x:f>E29/100*VLOOKUP(D29,'Food Data'!$A$6:$H$24,5,FALSE)</x:f>
        <x:v>58.531000000000006</x:v>
      </x:c>
      <x:c r="I29" s="44" t="n">
        <x:f>E29/100*VLOOKUP(D29,'Food Data'!$A$6:$H$24,6,FALSE)</x:f>
        <x:v>0</x:v>
      </x:c>
      <x:c r="J29" s="44" t="n">
        <x:f>E29/100*VLOOKUP(D29,'Food Data'!$A$6:$H$24,7,FALSE)</x:f>
        <x:v>8.789000000000001</x:v>
      </x:c>
      <x:c r="K29" s="44" t="n">
        <x:f>E29/100*VLOOKUP(D29,'Food Data'!$A$6:$H$24,8,FALSE)</x:f>
        <x:v>0</x:v>
      </x:c>
    </x:row>
    <x:row r="30" ht="31" customHeight="1">
      <x:c r="A30" s="38" t="str">
        <x:v>Tuesday</x:v>
      </x:c>
      <x:c r="B30" s="38" t="str">
        <x:v>Meal 2</x:v>
      </x:c>
      <x:c r="C30" s="43" t="str">
        <x:v>5% mince rice bowl</x:v>
      </x:c>
      <x:c r="D30" s="43" t="str">
        <x:v>White basmati rice</x:v>
      </x:c>
      <x:c r="E30" s="44" t="n">
        <x:v>59</x:v>
      </x:c>
      <x:c r="F30" s="44" t="str">
        <x:v>Dry</x:v>
      </x:c>
      <x:c r="G30" s="44" t="n">
        <x:f>E30/100*VLOOKUP(D30,'Food Data'!$A$6:$H$24,4,FALSE)</x:f>
        <x:v>207.08999999999997</x:v>
      </x:c>
      <x:c r="H30" s="44" t="n">
        <x:f>E30/100*VLOOKUP(D30,'Food Data'!$A$6:$H$24,5,FALSE)</x:f>
        <x:v>4.601999999999999</x:v>
      </x:c>
      <x:c r="I30" s="44" t="n">
        <x:f>E30/100*VLOOKUP(D30,'Food Data'!$A$6:$H$24,6,FALSE)</x:f>
        <x:v>45.842999999999996</x:v>
      </x:c>
      <x:c r="J30" s="44" t="n">
        <x:f>E30/100*VLOOKUP(D30,'Food Data'!$A$6:$H$24,7,FALSE)</x:f>
        <x:v>0.472</x:v>
      </x:c>
      <x:c r="K30" s="44" t="n">
        <x:f>E30/100*VLOOKUP(D30,'Food Data'!$A$6:$H$24,8,FALSE)</x:f>
        <x:v>0.59</x:v>
      </x:c>
    </x:row>
    <x:row r="31" ht="31" customHeight="1">
      <x:c r="A31" s="38" t="str">
        <x:v>Tuesday</x:v>
      </x:c>
      <x:c r="B31" s="38" t="str">
        <x:v>Meal 2</x:v>
      </x:c>
      <x:c r="C31" s="43" t="str">
        <x:v>5% mince rice bowl</x:v>
      </x:c>
      <x:c r="D31" s="43" t="str">
        <x:v>Avocado flesh</x:v>
      </x:c>
      <x:c r="E31" s="44" t="n">
        <x:v>100</x:v>
      </x:c>
      <x:c r="F31" s="44" t="str">
        <x:v>Flesh</x:v>
      </x:c>
      <x:c r="G31" s="44" t="n">
        <x:f>E31/100*VLOOKUP(D31,'Food Data'!$A$6:$H$24,4,FALSE)</x:f>
        <x:v>197</x:v>
      </x:c>
      <x:c r="H31" s="44" t="n">
        <x:f>E31/100*VLOOKUP(D31,'Food Data'!$A$6:$H$24,5,FALSE)</x:f>
        <x:v>1.9</x:v>
      </x:c>
      <x:c r="I31" s="44" t="n">
        <x:f>E31/100*VLOOKUP(D31,'Food Data'!$A$6:$H$24,6,FALSE)</x:f>
        <x:v>1.9</x:v>
      </x:c>
      <x:c r="J31" s="44" t="n">
        <x:f>E31/100*VLOOKUP(D31,'Food Data'!$A$6:$H$24,7,FALSE)</x:f>
        <x:v>19.5</x:v>
      </x:c>
      <x:c r="K31" s="44" t="n">
        <x:f>E31/100*VLOOKUP(D31,'Food Data'!$A$6:$H$24,8,FALSE)</x:f>
        <x:v>3.4</x:v>
      </x:c>
    </x:row>
    <x:row r="32" ht="31" customHeight="1">
      <x:c r="A32" s="38" t="str">
        <x:v>Tuesday</x:v>
      </x:c>
      <x:c r="B32" s="38" t="str">
        <x:v>Meal 2</x:v>
      </x:c>
      <x:c r="C32" s="43" t="str">
        <x:v>5% mince rice bowl</x:v>
      </x:c>
      <x:c r="D32" s="43" t="str">
        <x:v>Olive oil</x:v>
      </x:c>
      <x:c r="E32" s="44" t="n">
        <x:v>5</x:v>
      </x:c>
      <x:c r="F32" s="44" t="str">
        <x:v>As sold</x:v>
      </x:c>
      <x:c r="G32" s="44" t="n">
        <x:f>E32/100*VLOOKUP(D32,'Food Data'!$A$6:$H$24,4,FALSE)</x:f>
        <x:v>45</x:v>
      </x:c>
      <x:c r="H32" s="44" t="n">
        <x:f>E32/100*VLOOKUP(D32,'Food Data'!$A$6:$H$24,5,FALSE)</x:f>
        <x:v>0</x:v>
      </x:c>
      <x:c r="I32" s="44" t="n">
        <x:f>E32/100*VLOOKUP(D32,'Food Data'!$A$6:$H$24,6,FALSE)</x:f>
        <x:v>0</x:v>
      </x:c>
      <x:c r="J32" s="44" t="n">
        <x:f>E32/100*VLOOKUP(D32,'Food Data'!$A$6:$H$24,7,FALSE)</x:f>
        <x:v>5</x:v>
      </x:c>
      <x:c r="K32" s="44" t="n">
        <x:f>E32/100*VLOOKUP(D32,'Food Data'!$A$6:$H$24,8,FALSE)</x:f>
        <x:v>0</x:v>
      </x:c>
    </x:row>
    <x:row r="33" ht="31" customHeight="1">
      <x:c r="A33" s="38" t="str">
        <x:v>Tuesday</x:v>
      </x:c>
      <x:c r="B33" s="38" t="str">
        <x:v>Meal 2</x:v>
      </x:c>
      <x:c r="C33" s="43" t="str">
        <x:v>5% mince rice bowl</x:v>
      </x:c>
      <x:c r="D33" s="43" t="str">
        <x:v>Broccoli</x:v>
      </x:c>
      <x:c r="E33" s="44" t="n">
        <x:v>200</x:v>
      </x:c>
      <x:c r="F33" s="44" t="str">
        <x:v>Raw/frozen</x:v>
      </x:c>
      <x:c r="G33" s="44" t="n">
        <x:f>E33/100*VLOOKUP(D33,'Food Data'!$A$6:$H$24,4,FALSE)</x:f>
        <x:v>68</x:v>
      </x:c>
      <x:c r="H33" s="44" t="n">
        <x:f>E33/100*VLOOKUP(D33,'Food Data'!$A$6:$H$24,5,FALSE)</x:f>
        <x:v>5.6</x:v>
      </x:c>
      <x:c r="I33" s="44" t="n">
        <x:f>E33/100*VLOOKUP(D33,'Food Data'!$A$6:$H$24,6,FALSE)</x:f>
        <x:v>5.4</x:v>
      </x:c>
      <x:c r="J33" s="44" t="n">
        <x:f>E33/100*VLOOKUP(D33,'Food Data'!$A$6:$H$24,7,FALSE)</x:f>
        <x:v>0.8</x:v>
      </x:c>
      <x:c r="K33" s="44" t="n">
        <x:f>E33/100*VLOOKUP(D33,'Food Data'!$A$6:$H$24,8,FALSE)</x:f>
        <x:v>6</x:v>
      </x:c>
    </x:row>
    <x:row r="34" ht="31" customHeight="1">
      <x:c r="A34" s="38" t="str">
        <x:v>Tuesday</x:v>
      </x:c>
      <x:c r="B34" s="38" t="str">
        <x:v>Meal 2</x:v>
      </x:c>
      <x:c r="C34" s="43" t="str">
        <x:v>5% mince rice bowl</x:v>
      </x:c>
      <x:c r="D34" s="43" t="str">
        <x:v>Garden peas</x:v>
      </x:c>
      <x:c r="E34" s="44" t="n">
        <x:v>100</x:v>
      </x:c>
      <x:c r="F34" s="44" t="str">
        <x:v>Frozen</x:v>
      </x:c>
      <x:c r="G34" s="44" t="n">
        <x:f>E34/100*VLOOKUP(D34,'Food Data'!$A$6:$H$24,4,FALSE)</x:f>
        <x:v>85</x:v>
      </x:c>
      <x:c r="H34" s="44" t="n">
        <x:f>E34/100*VLOOKUP(D34,'Food Data'!$A$6:$H$24,5,FALSE)</x:f>
        <x:v>5.7</x:v>
      </x:c>
      <x:c r="I34" s="44" t="n">
        <x:f>E34/100*VLOOKUP(D34,'Food Data'!$A$6:$H$24,6,FALSE)</x:f>
        <x:v>10.8</x:v>
      </x:c>
      <x:c r="J34" s="44" t="n">
        <x:f>E34/100*VLOOKUP(D34,'Food Data'!$A$6:$H$24,7,FALSE)</x:f>
        <x:v>0.9</x:v>
      </x:c>
      <x:c r="K34" s="44" t="n">
        <x:f>E34/100*VLOOKUP(D34,'Food Data'!$A$6:$H$24,8,FALSE)</x:f>
        <x:v>5.7</x:v>
      </x:c>
    </x:row>
    <x:row r="35" ht="31" customHeight="1">
      <x:c r="A35" s="38" t="str">
        <x:v>Tuesday</x:v>
      </x:c>
      <x:c r="B35" s="38" t="str">
        <x:v>Meal 2</x:v>
      </x:c>
      <x:c r="C35" s="43" t="str">
        <x:v>5% mince rice bowl</x:v>
      </x:c>
      <x:c r="D35" s="43" t="str">
        <x:v>Mixed peppers</x:v>
      </x:c>
      <x:c r="E35" s="44" t="n">
        <x:v>100</x:v>
      </x:c>
      <x:c r="F35" s="44" t="str">
        <x:v>Raw</x:v>
      </x:c>
      <x:c r="G35" s="44" t="n">
        <x:f>E35/100*VLOOKUP(D35,'Food Data'!$A$6:$H$24,4,FALSE)</x:f>
        <x:v>26</x:v>
      </x:c>
      <x:c r="H35" s="44" t="n">
        <x:f>E35/100*VLOOKUP(D35,'Food Data'!$A$6:$H$24,5,FALSE)</x:f>
        <x:v>1</x:v>
      </x:c>
      <x:c r="I35" s="44" t="n">
        <x:f>E35/100*VLOOKUP(D35,'Food Data'!$A$6:$H$24,6,FALSE)</x:f>
        <x:v>4.4</x:v>
      </x:c>
      <x:c r="J35" s="44" t="n">
        <x:f>E35/100*VLOOKUP(D35,'Food Data'!$A$6:$H$24,7,FALSE)</x:f>
        <x:v>0.3</x:v>
      </x:c>
      <x:c r="K35" s="44" t="n">
        <x:f>E35/100*VLOOKUP(D35,'Food Data'!$A$6:$H$24,8,FALSE)</x:f>
        <x:v>1.7</x:v>
      </x:c>
    </x:row>
    <x:row r="36" ht="31" customHeight="1">
      <x:c r="A36" s="38" t="str">
        <x:v>Tuesday</x:v>
      </x:c>
      <x:c r="B36" s="38" t="str">
        <x:v>Meal 2</x:v>
      </x:c>
      <x:c r="C36" s="43" t="str">
        <x:v>5% mince rice bowl</x:v>
      </x:c>
      <x:c r="D36" s="43" t="str">
        <x:v>Spring onions</x:v>
      </x:c>
      <x:c r="E36" s="44" t="n">
        <x:v>20</x:v>
      </x:c>
      <x:c r="F36" s="44" t="str">
        <x:v>Raw</x:v>
      </x:c>
      <x:c r="G36" s="44" t="n">
        <x:f>E36/100*VLOOKUP(D36,'Food Data'!$A$6:$H$24,4,FALSE)</x:f>
        <x:v>5.4</x:v>
      </x:c>
      <x:c r="H36" s="44" t="n">
        <x:f>E36/100*VLOOKUP(D36,'Food Data'!$A$6:$H$24,5,FALSE)</x:f>
        <x:v>0.36000000000000004</x:v>
      </x:c>
      <x:c r="I36" s="44" t="n">
        <x:f>E36/100*VLOOKUP(D36,'Food Data'!$A$6:$H$24,6,FALSE)</x:f>
        <x:v>0.86</x:v>
      </x:c>
      <x:c r="J36" s="44" t="n">
        <x:f>E36/100*VLOOKUP(D36,'Food Data'!$A$6:$H$24,7,FALSE)</x:f>
        <x:v>0.04000000000000001</x:v>
      </x:c>
      <x:c r="K36" s="44" t="n">
        <x:f>E36/100*VLOOKUP(D36,'Food Data'!$A$6:$H$24,8,FALSE)</x:f>
        <x:v>0.52</x:v>
      </x:c>
    </x:row>
    <x:row r="37" ht="31" customHeight="1">
      <x:c r="A37" s="38" t="str">
        <x:v>Wednesday</x:v>
      </x:c>
      <x:c r="B37" s="38" t="str">
        <x:v>Meal 1</x:v>
      </x:c>
      <x:c r="C37" s="43" t="str">
        <x:v>Sirloin steak &amp; chips</x:v>
      </x:c>
      <x:c r="D37" s="43" t="str">
        <x:v>Sirloin steak</x:v>
      </x:c>
      <x:c r="E37" s="44" t="n">
        <x:v>215</x:v>
      </x:c>
      <x:c r="F37" s="44" t="str">
        <x:v>Cooked</x:v>
      </x:c>
      <x:c r="G37" s="44" t="n">
        <x:f>E37/100*VLOOKUP(D37,'Food Data'!$A$6:$H$24,4,FALSE)</x:f>
        <x:v>406.34999999999997</x:v>
      </x:c>
      <x:c r="H37" s="44" t="n">
        <x:f>E37/100*VLOOKUP(D37,'Food Data'!$A$6:$H$24,5,FALSE)</x:f>
        <x:v>59.55499999999999</x:v>
      </x:c>
      <x:c r="I37" s="44" t="n">
        <x:f>E37/100*VLOOKUP(D37,'Food Data'!$A$6:$H$24,6,FALSE)</x:f>
        <x:v>0</x:v>
      </x:c>
      <x:c r="J37" s="44" t="n">
        <x:f>E37/100*VLOOKUP(D37,'Food Data'!$A$6:$H$24,7,FALSE)</x:f>
        <x:v>18.705</x:v>
      </x:c>
      <x:c r="K37" s="44" t="n">
        <x:f>E37/100*VLOOKUP(D37,'Food Data'!$A$6:$H$24,8,FALSE)</x:f>
        <x:v>0</x:v>
      </x:c>
    </x:row>
    <x:row r="38" ht="31" customHeight="1">
      <x:c r="A38" s="38" t="str">
        <x:v>Wednesday</x:v>
      </x:c>
      <x:c r="B38" s="38" t="str">
        <x:v>Meal 1</x:v>
      </x:c>
      <x:c r="C38" s="43" t="str">
        <x:v>Sirloin steak &amp; chips</x:v>
      </x:c>
      <x:c r="D38" s="43" t="str">
        <x:v>Gastro oven chips</x:v>
      </x:c>
      <x:c r="E38" s="44" t="n">
        <x:v>190</x:v>
      </x:c>
      <x:c r="F38" s="44" t="str">
        <x:v>Frozen</x:v>
      </x:c>
      <x:c r="G38" s="44" t="n">
        <x:f>E38/100*VLOOKUP(D38,'Food Data'!$A$6:$H$24,4,FALSE)</x:f>
        <x:v>353.4</x:v>
      </x:c>
      <x:c r="H38" s="44" t="n">
        <x:f>E38/100*VLOOKUP(D38,'Food Data'!$A$6:$H$24,5,FALSE)</x:f>
        <x:v>4.18</x:v>
      </x:c>
      <x:c r="I38" s="44" t="n">
        <x:f>E38/100*VLOOKUP(D38,'Food Data'!$A$6:$H$24,6,FALSE)</x:f>
        <x:v>36.1</x:v>
      </x:c>
      <x:c r="J38" s="44" t="n">
        <x:f>E38/100*VLOOKUP(D38,'Food Data'!$A$6:$H$24,7,FALSE)</x:f>
        <x:v>20.9</x:v>
      </x:c>
      <x:c r="K38" s="44" t="n">
        <x:f>E38/100*VLOOKUP(D38,'Food Data'!$A$6:$H$24,8,FALSE)</x:f>
        <x:v>4.18</x:v>
      </x:c>
    </x:row>
    <x:row r="39" ht="31" customHeight="1">
      <x:c r="A39" s="38" t="str">
        <x:v>Wednesday</x:v>
      </x:c>
      <x:c r="B39" s="38" t="str">
        <x:v>Meal 1</x:v>
      </x:c>
      <x:c r="C39" s="43" t="str">
        <x:v>Sirloin steak &amp; chips</x:v>
      </x:c>
      <x:c r="D39" s="43" t="str">
        <x:v>Broccoli</x:v>
      </x:c>
      <x:c r="E39" s="44" t="n">
        <x:v>200</x:v>
      </x:c>
      <x:c r="F39" s="44" t="str">
        <x:v>Raw/frozen</x:v>
      </x:c>
      <x:c r="G39" s="44" t="n">
        <x:f>E39/100*VLOOKUP(D39,'Food Data'!$A$6:$H$24,4,FALSE)</x:f>
        <x:v>68</x:v>
      </x:c>
      <x:c r="H39" s="44" t="n">
        <x:f>E39/100*VLOOKUP(D39,'Food Data'!$A$6:$H$24,5,FALSE)</x:f>
        <x:v>5.6</x:v>
      </x:c>
      <x:c r="I39" s="44" t="n">
        <x:f>E39/100*VLOOKUP(D39,'Food Data'!$A$6:$H$24,6,FALSE)</x:f>
        <x:v>5.4</x:v>
      </x:c>
      <x:c r="J39" s="44" t="n">
        <x:f>E39/100*VLOOKUP(D39,'Food Data'!$A$6:$H$24,7,FALSE)</x:f>
        <x:v>0.8</x:v>
      </x:c>
      <x:c r="K39" s="44" t="n">
        <x:f>E39/100*VLOOKUP(D39,'Food Data'!$A$6:$H$24,8,FALSE)</x:f>
        <x:v>6</x:v>
      </x:c>
    </x:row>
    <x:row r="40" ht="31" customHeight="1">
      <x:c r="A40" s="38" t="str">
        <x:v>Wednesday</x:v>
      </x:c>
      <x:c r="B40" s="38" t="str">
        <x:v>Meal 1</x:v>
      </x:c>
      <x:c r="C40" s="43" t="str">
        <x:v>Sirloin steak &amp; chips</x:v>
      </x:c>
      <x:c r="D40" s="43" t="str">
        <x:v>Garden peas</x:v>
      </x:c>
      <x:c r="E40" s="44" t="n">
        <x:v>100</x:v>
      </x:c>
      <x:c r="F40" s="44" t="str">
        <x:v>Frozen</x:v>
      </x:c>
      <x:c r="G40" s="44" t="n">
        <x:f>E40/100*VLOOKUP(D40,'Food Data'!$A$6:$H$24,4,FALSE)</x:f>
        <x:v>85</x:v>
      </x:c>
      <x:c r="H40" s="44" t="n">
        <x:f>E40/100*VLOOKUP(D40,'Food Data'!$A$6:$H$24,5,FALSE)</x:f>
        <x:v>5.7</x:v>
      </x:c>
      <x:c r="I40" s="44" t="n">
        <x:f>E40/100*VLOOKUP(D40,'Food Data'!$A$6:$H$24,6,FALSE)</x:f>
        <x:v>10.8</x:v>
      </x:c>
      <x:c r="J40" s="44" t="n">
        <x:f>E40/100*VLOOKUP(D40,'Food Data'!$A$6:$H$24,7,FALSE)</x:f>
        <x:v>0.9</x:v>
      </x:c>
      <x:c r="K40" s="44" t="n">
        <x:f>E40/100*VLOOKUP(D40,'Food Data'!$A$6:$H$24,8,FALSE)</x:f>
        <x:v>5.7</x:v>
      </x:c>
    </x:row>
    <x:row r="41" ht="31" customHeight="1">
      <x:c r="A41" s="38" t="str">
        <x:v>Wednesday</x:v>
      </x:c>
      <x:c r="B41" s="38" t="str">
        <x:v>Meal 1</x:v>
      </x:c>
      <x:c r="C41" s="43" t="str">
        <x:v>Sirloin steak &amp; chips</x:v>
      </x:c>
      <x:c r="D41" s="43" t="str">
        <x:v>Mixed peppers</x:v>
      </x:c>
      <x:c r="E41" s="44" t="n">
        <x:v>100</x:v>
      </x:c>
      <x:c r="F41" s="44" t="str">
        <x:v>Raw</x:v>
      </x:c>
      <x:c r="G41" s="44" t="n">
        <x:f>E41/100*VLOOKUP(D41,'Food Data'!$A$6:$H$24,4,FALSE)</x:f>
        <x:v>26</x:v>
      </x:c>
      <x:c r="H41" s="44" t="n">
        <x:f>E41/100*VLOOKUP(D41,'Food Data'!$A$6:$H$24,5,FALSE)</x:f>
        <x:v>1</x:v>
      </x:c>
      <x:c r="I41" s="44" t="n">
        <x:f>E41/100*VLOOKUP(D41,'Food Data'!$A$6:$H$24,6,FALSE)</x:f>
        <x:v>4.4</x:v>
      </x:c>
      <x:c r="J41" s="44" t="n">
        <x:f>E41/100*VLOOKUP(D41,'Food Data'!$A$6:$H$24,7,FALSE)</x:f>
        <x:v>0.3</x:v>
      </x:c>
      <x:c r="K41" s="44" t="n">
        <x:f>E41/100*VLOOKUP(D41,'Food Data'!$A$6:$H$24,8,FALSE)</x:f>
        <x:v>1.7</x:v>
      </x:c>
    </x:row>
    <x:row r="42" ht="31" customHeight="1">
      <x:c r="A42" s="38" t="str">
        <x:v>Wednesday</x:v>
      </x:c>
      <x:c r="B42" s="38" t="str">
        <x:v>Meal 1</x:v>
      </x:c>
      <x:c r="C42" s="43" t="str">
        <x:v>Sirloin steak &amp; chips</x:v>
      </x:c>
      <x:c r="D42" s="43" t="str">
        <x:v>Spring onions</x:v>
      </x:c>
      <x:c r="E42" s="44" t="n">
        <x:v>20</x:v>
      </x:c>
      <x:c r="F42" s="44" t="str">
        <x:v>Raw</x:v>
      </x:c>
      <x:c r="G42" s="44" t="n">
        <x:f>E42/100*VLOOKUP(D42,'Food Data'!$A$6:$H$24,4,FALSE)</x:f>
        <x:v>5.4</x:v>
      </x:c>
      <x:c r="H42" s="44" t="n">
        <x:f>E42/100*VLOOKUP(D42,'Food Data'!$A$6:$H$24,5,FALSE)</x:f>
        <x:v>0.36000000000000004</x:v>
      </x:c>
      <x:c r="I42" s="44" t="n">
        <x:f>E42/100*VLOOKUP(D42,'Food Data'!$A$6:$H$24,6,FALSE)</x:f>
        <x:v>0.86</x:v>
      </x:c>
      <x:c r="J42" s="44" t="n">
        <x:f>E42/100*VLOOKUP(D42,'Food Data'!$A$6:$H$24,7,FALSE)</x:f>
        <x:v>0.04000000000000001</x:v>
      </x:c>
      <x:c r="K42" s="44" t="n">
        <x:f>E42/100*VLOOKUP(D42,'Food Data'!$A$6:$H$24,8,FALSE)</x:f>
        <x:v>0.52</x:v>
      </x:c>
    </x:row>
    <x:row r="43" ht="31" customHeight="1">
      <x:c r="A43" s="38" t="str">
        <x:v>Wednesday</x:v>
      </x:c>
      <x:c r="B43" s="38" t="str">
        <x:v>Meal 2</x:v>
      </x:c>
      <x:c r="C43" s="43" t="str">
        <x:v>Salmon rice bowl</x:v>
      </x:c>
      <x:c r="D43" s="43" t="str">
        <x:v>Wild salmon fillets</x:v>
      </x:c>
      <x:c r="E43" s="44" t="n">
        <x:v>253</x:v>
      </x:c>
      <x:c r="F43" s="44" t="str">
        <x:v>Cooked</x:v>
      </x:c>
      <x:c r="G43" s="44" t="n">
        <x:f>E43/100*VLOOKUP(D43,'Food Data'!$A$6:$H$24,4,FALSE)</x:f>
        <x:v>341.54999999999995</x:v>
      </x:c>
      <x:c r="H43" s="44" t="n">
        <x:f>E43/100*VLOOKUP(D43,'Food Data'!$A$6:$H$24,5,FALSE)</x:f>
        <x:v>64.768</x:v>
      </x:c>
      <x:c r="I43" s="44" t="n">
        <x:f>E43/100*VLOOKUP(D43,'Food Data'!$A$6:$H$24,6,FALSE)</x:f>
        <x:v>0</x:v>
      </x:c>
      <x:c r="J43" s="44" t="n">
        <x:f>E43/100*VLOOKUP(D43,'Food Data'!$A$6:$H$24,7,FALSE)</x:f>
        <x:v>8.601999999999999</x:v>
      </x:c>
      <x:c r="K43" s="44" t="n">
        <x:f>E43/100*VLOOKUP(D43,'Food Data'!$A$6:$H$24,8,FALSE)</x:f>
        <x:v>0</x:v>
      </x:c>
    </x:row>
    <x:row r="44" ht="31" customHeight="1">
      <x:c r="A44" s="38" t="str">
        <x:v>Wednesday</x:v>
      </x:c>
      <x:c r="B44" s="38" t="str">
        <x:v>Meal 2</x:v>
      </x:c>
      <x:c r="C44" s="43" t="str">
        <x:v>Salmon rice bowl</x:v>
      </x:c>
      <x:c r="D44" s="43" t="str">
        <x:v>White basmati rice</x:v>
      </x:c>
      <x:c r="E44" s="44" t="n">
        <x:v>82</x:v>
      </x:c>
      <x:c r="F44" s="44" t="str">
        <x:v>Dry</x:v>
      </x:c>
      <x:c r="G44" s="44" t="n">
        <x:f>E44/100*VLOOKUP(D44,'Food Data'!$A$6:$H$24,4,FALSE)</x:f>
        <x:v>287.82</x:v>
      </x:c>
      <x:c r="H44" s="44" t="n">
        <x:f>E44/100*VLOOKUP(D44,'Food Data'!$A$6:$H$24,5,FALSE)</x:f>
        <x:v>6.396</x:v>
      </x:c>
      <x:c r="I44" s="44" t="n">
        <x:f>E44/100*VLOOKUP(D44,'Food Data'!$A$6:$H$24,6,FALSE)</x:f>
        <x:v>63.714</x:v>
      </x:c>
      <x:c r="J44" s="44" t="n">
        <x:f>E44/100*VLOOKUP(D44,'Food Data'!$A$6:$H$24,7,FALSE)</x:f>
        <x:v>0.656</x:v>
      </x:c>
      <x:c r="K44" s="44" t="n">
        <x:f>E44/100*VLOOKUP(D44,'Food Data'!$A$6:$H$24,8,FALSE)</x:f>
        <x:v>0.82</x:v>
      </x:c>
    </x:row>
    <x:row r="45" ht="31" customHeight="1">
      <x:c r="A45" s="38" t="str">
        <x:v>Wednesday</x:v>
      </x:c>
      <x:c r="B45" s="38" t="str">
        <x:v>Meal 2</x:v>
      </x:c>
      <x:c r="C45" s="43" t="str">
        <x:v>Salmon rice bowl</x:v>
      </x:c>
      <x:c r="D45" s="43" t="str">
        <x:v>Avocado flesh</x:v>
      </x:c>
      <x:c r="E45" s="44" t="n">
        <x:v>0</x:v>
      </x:c>
      <x:c r="F45" s="44" t="str">
        <x:v>Flesh</x:v>
      </x:c>
      <x:c r="G45" s="44" t="n">
        <x:f>E45/100*VLOOKUP(D45,'Food Data'!$A$6:$H$24,4,FALSE)</x:f>
        <x:v>0</x:v>
      </x:c>
      <x:c r="H45" s="44" t="n">
        <x:f>E45/100*VLOOKUP(D45,'Food Data'!$A$6:$H$24,5,FALSE)</x:f>
        <x:v>0</x:v>
      </x:c>
      <x:c r="I45" s="44" t="n">
        <x:f>E45/100*VLOOKUP(D45,'Food Data'!$A$6:$H$24,6,FALSE)</x:f>
        <x:v>0</x:v>
      </x:c>
      <x:c r="J45" s="44" t="n">
        <x:f>E45/100*VLOOKUP(D45,'Food Data'!$A$6:$H$24,7,FALSE)</x:f>
        <x:v>0</x:v>
      </x:c>
      <x:c r="K45" s="44" t="n">
        <x:f>E45/100*VLOOKUP(D45,'Food Data'!$A$6:$H$24,8,FALSE)</x:f>
        <x:v>0</x:v>
      </x:c>
    </x:row>
    <x:row r="46" ht="31" customHeight="1">
      <x:c r="A46" s="38" t="str">
        <x:v>Wednesday</x:v>
      </x:c>
      <x:c r="B46" s="38" t="str">
        <x:v>Meal 2</x:v>
      </x:c>
      <x:c r="C46" s="43" t="str">
        <x:v>Salmon rice bowl</x:v>
      </x:c>
      <x:c r="D46" s="43" t="str">
        <x:v>Olive oil</x:v>
      </x:c>
      <x:c r="E46" s="44" t="n">
        <x:v>5</x:v>
      </x:c>
      <x:c r="F46" s="44" t="str">
        <x:v>As sold</x:v>
      </x:c>
      <x:c r="G46" s="44" t="n">
        <x:f>E46/100*VLOOKUP(D46,'Food Data'!$A$6:$H$24,4,FALSE)</x:f>
        <x:v>45</x:v>
      </x:c>
      <x:c r="H46" s="44" t="n">
        <x:f>E46/100*VLOOKUP(D46,'Food Data'!$A$6:$H$24,5,FALSE)</x:f>
        <x:v>0</x:v>
      </x:c>
      <x:c r="I46" s="44" t="n">
        <x:f>E46/100*VLOOKUP(D46,'Food Data'!$A$6:$H$24,6,FALSE)</x:f>
        <x:v>0</x:v>
      </x:c>
      <x:c r="J46" s="44" t="n">
        <x:f>E46/100*VLOOKUP(D46,'Food Data'!$A$6:$H$24,7,FALSE)</x:f>
        <x:v>5</x:v>
      </x:c>
      <x:c r="K46" s="44" t="n">
        <x:f>E46/100*VLOOKUP(D46,'Food Data'!$A$6:$H$24,8,FALSE)</x:f>
        <x:v>0</x:v>
      </x:c>
    </x:row>
    <x:row r="47" ht="31" customHeight="1">
      <x:c r="A47" s="38" t="str">
        <x:v>Wednesday</x:v>
      </x:c>
      <x:c r="B47" s="38" t="str">
        <x:v>Meal 2</x:v>
      </x:c>
      <x:c r="C47" s="43" t="str">
        <x:v>Salmon rice bowl</x:v>
      </x:c>
      <x:c r="D47" s="43" t="str">
        <x:v>Broccoli</x:v>
      </x:c>
      <x:c r="E47" s="44" t="n">
        <x:v>200</x:v>
      </x:c>
      <x:c r="F47" s="44" t="str">
        <x:v>Raw/frozen</x:v>
      </x:c>
      <x:c r="G47" s="44" t="n">
        <x:f>E47/100*VLOOKUP(D47,'Food Data'!$A$6:$H$24,4,FALSE)</x:f>
        <x:v>68</x:v>
      </x:c>
      <x:c r="H47" s="44" t="n">
        <x:f>E47/100*VLOOKUP(D47,'Food Data'!$A$6:$H$24,5,FALSE)</x:f>
        <x:v>5.6</x:v>
      </x:c>
      <x:c r="I47" s="44" t="n">
        <x:f>E47/100*VLOOKUP(D47,'Food Data'!$A$6:$H$24,6,FALSE)</x:f>
        <x:v>5.4</x:v>
      </x:c>
      <x:c r="J47" s="44" t="n">
        <x:f>E47/100*VLOOKUP(D47,'Food Data'!$A$6:$H$24,7,FALSE)</x:f>
        <x:v>0.8</x:v>
      </x:c>
      <x:c r="K47" s="44" t="n">
        <x:f>E47/100*VLOOKUP(D47,'Food Data'!$A$6:$H$24,8,FALSE)</x:f>
        <x:v>6</x:v>
      </x:c>
    </x:row>
    <x:row r="48" ht="31" customHeight="1">
      <x:c r="A48" s="38" t="str">
        <x:v>Wednesday</x:v>
      </x:c>
      <x:c r="B48" s="38" t="str">
        <x:v>Meal 2</x:v>
      </x:c>
      <x:c r="C48" s="43" t="str">
        <x:v>Salmon rice bowl</x:v>
      </x:c>
      <x:c r="D48" s="43" t="str">
        <x:v>Garden peas</x:v>
      </x:c>
      <x:c r="E48" s="44" t="n">
        <x:v>100</x:v>
      </x:c>
      <x:c r="F48" s="44" t="str">
        <x:v>Frozen</x:v>
      </x:c>
      <x:c r="G48" s="44" t="n">
        <x:f>E48/100*VLOOKUP(D48,'Food Data'!$A$6:$H$24,4,FALSE)</x:f>
        <x:v>85</x:v>
      </x:c>
      <x:c r="H48" s="44" t="n">
        <x:f>E48/100*VLOOKUP(D48,'Food Data'!$A$6:$H$24,5,FALSE)</x:f>
        <x:v>5.7</x:v>
      </x:c>
      <x:c r="I48" s="44" t="n">
        <x:f>E48/100*VLOOKUP(D48,'Food Data'!$A$6:$H$24,6,FALSE)</x:f>
        <x:v>10.8</x:v>
      </x:c>
      <x:c r="J48" s="44" t="n">
        <x:f>E48/100*VLOOKUP(D48,'Food Data'!$A$6:$H$24,7,FALSE)</x:f>
        <x:v>0.9</x:v>
      </x:c>
      <x:c r="K48" s="44" t="n">
        <x:f>E48/100*VLOOKUP(D48,'Food Data'!$A$6:$H$24,8,FALSE)</x:f>
        <x:v>5.7</x:v>
      </x:c>
    </x:row>
    <x:row r="49" ht="31" customHeight="1">
      <x:c r="A49" s="38" t="str">
        <x:v>Wednesday</x:v>
      </x:c>
      <x:c r="B49" s="38" t="str">
        <x:v>Meal 2</x:v>
      </x:c>
      <x:c r="C49" s="43" t="str">
        <x:v>Salmon rice bowl</x:v>
      </x:c>
      <x:c r="D49" s="43" t="str">
        <x:v>Mixed peppers</x:v>
      </x:c>
      <x:c r="E49" s="44" t="n">
        <x:v>100</x:v>
      </x:c>
      <x:c r="F49" s="44" t="str">
        <x:v>Raw</x:v>
      </x:c>
      <x:c r="G49" s="44" t="n">
        <x:f>E49/100*VLOOKUP(D49,'Food Data'!$A$6:$H$24,4,FALSE)</x:f>
        <x:v>26</x:v>
      </x:c>
      <x:c r="H49" s="44" t="n">
        <x:f>E49/100*VLOOKUP(D49,'Food Data'!$A$6:$H$24,5,FALSE)</x:f>
        <x:v>1</x:v>
      </x:c>
      <x:c r="I49" s="44" t="n">
        <x:f>E49/100*VLOOKUP(D49,'Food Data'!$A$6:$H$24,6,FALSE)</x:f>
        <x:v>4.4</x:v>
      </x:c>
      <x:c r="J49" s="44" t="n">
        <x:f>E49/100*VLOOKUP(D49,'Food Data'!$A$6:$H$24,7,FALSE)</x:f>
        <x:v>0.3</x:v>
      </x:c>
      <x:c r="K49" s="44" t="n">
        <x:f>E49/100*VLOOKUP(D49,'Food Data'!$A$6:$H$24,8,FALSE)</x:f>
        <x:v>1.7</x:v>
      </x:c>
    </x:row>
    <x:row r="50" ht="31" customHeight="1">
      <x:c r="A50" s="38" t="str">
        <x:v>Wednesday</x:v>
      </x:c>
      <x:c r="B50" s="38" t="str">
        <x:v>Meal 2</x:v>
      </x:c>
      <x:c r="C50" s="43" t="str">
        <x:v>Salmon rice bowl</x:v>
      </x:c>
      <x:c r="D50" s="43" t="str">
        <x:v>Spring onions</x:v>
      </x:c>
      <x:c r="E50" s="44" t="n">
        <x:v>20</x:v>
      </x:c>
      <x:c r="F50" s="44" t="str">
        <x:v>Raw</x:v>
      </x:c>
      <x:c r="G50" s="44" t="n">
        <x:f>E50/100*VLOOKUP(D50,'Food Data'!$A$6:$H$24,4,FALSE)</x:f>
        <x:v>5.4</x:v>
      </x:c>
      <x:c r="H50" s="44" t="n">
        <x:f>E50/100*VLOOKUP(D50,'Food Data'!$A$6:$H$24,5,FALSE)</x:f>
        <x:v>0.36000000000000004</x:v>
      </x:c>
      <x:c r="I50" s="44" t="n">
        <x:f>E50/100*VLOOKUP(D50,'Food Data'!$A$6:$H$24,6,FALSE)</x:f>
        <x:v>0.86</x:v>
      </x:c>
      <x:c r="J50" s="44" t="n">
        <x:f>E50/100*VLOOKUP(D50,'Food Data'!$A$6:$H$24,7,FALSE)</x:f>
        <x:v>0.04000000000000001</x:v>
      </x:c>
      <x:c r="K50" s="44" t="n">
        <x:f>E50/100*VLOOKUP(D50,'Food Data'!$A$6:$H$24,8,FALSE)</x:f>
        <x:v>0.52</x:v>
      </x:c>
    </x:row>
    <x:row r="51" ht="31" customHeight="1">
      <x:c r="A51" s="38" t="str">
        <x:v>Thursday</x:v>
      </x:c>
      <x:c r="B51" s="38" t="str">
        <x:v>Meal 1</x:v>
      </x:c>
      <x:c r="C51" s="43" t="str">
        <x:v>Chicken thigh pesto pasta</x:v>
      </x:c>
      <x:c r="D51" s="43" t="str">
        <x:v>Chicken thigh fillets</x:v>
      </x:c>
      <x:c r="E51" s="44" t="n">
        <x:v>255</x:v>
      </x:c>
      <x:c r="F51" s="44" t="str">
        <x:v>Cooked</x:v>
      </x:c>
      <x:c r="G51" s="44" t="n">
        <x:f>E51/100*VLOOKUP(D51,'Food Data'!$A$6:$H$24,4,FALSE)</x:f>
        <x:v>428.4</x:v>
      </x:c>
      <x:c r="H51" s="44" t="n">
        <x:f>E51/100*VLOOKUP(D51,'Food Data'!$A$6:$H$24,5,FALSE)</x:f>
        <x:v>63.239999999999995</x:v>
      </x:c>
      <x:c r="I51" s="44" t="n">
        <x:f>E51/100*VLOOKUP(D51,'Food Data'!$A$6:$H$24,6,FALSE)</x:f>
        <x:v>0</x:v>
      </x:c>
      <x:c r="J51" s="44" t="n">
        <x:f>E51/100*VLOOKUP(D51,'Food Data'!$A$6:$H$24,7,FALSE)</x:f>
        <x:v>19.38</x:v>
      </x:c>
      <x:c r="K51" s="44" t="n">
        <x:f>E51/100*VLOOKUP(D51,'Food Data'!$A$6:$H$24,8,FALSE)</x:f>
        <x:v>0</x:v>
      </x:c>
    </x:row>
    <x:row r="52" ht="31" customHeight="1">
      <x:c r="A52" s="38" t="str">
        <x:v>Thursday</x:v>
      </x:c>
      <x:c r="B52" s="38" t="str">
        <x:v>Meal 1</x:v>
      </x:c>
      <x:c r="C52" s="43" t="str">
        <x:v>Chicken thigh pesto pasta</x:v>
      </x:c>
      <x:c r="D52" s="43" t="str">
        <x:v>Fusilli pasta</x:v>
      </x:c>
      <x:c r="E52" s="44" t="n">
        <x:v>70</x:v>
      </x:c>
      <x:c r="F52" s="44" t="str">
        <x:v>Dry</x:v>
      </x:c>
      <x:c r="G52" s="44" t="n">
        <x:f>E52/100*VLOOKUP(D52,'Food Data'!$A$6:$H$24,4,FALSE)</x:f>
        <x:v>255.07999999999996</x:v>
      </x:c>
      <x:c r="H52" s="44" t="n">
        <x:f>E52/100*VLOOKUP(D52,'Food Data'!$A$6:$H$24,5,FALSE)</x:f>
        <x:v>8.54</x:v>
      </x:c>
      <x:c r="I52" s="44" t="n">
        <x:f>E52/100*VLOOKUP(D52,'Food Data'!$A$6:$H$24,6,FALSE)</x:f>
        <x:v>51.66</x:v>
      </x:c>
      <x:c r="J52" s="44" t="n">
        <x:f>E52/100*VLOOKUP(D52,'Food Data'!$A$6:$H$24,7,FALSE)</x:f>
        <x:v>1.1199999999999999</x:v>
      </x:c>
      <x:c r="K52" s="44" t="n">
        <x:f>E52/100*VLOOKUP(D52,'Food Data'!$A$6:$H$24,8,FALSE)</x:f>
        <x:v>2.3099999999999996</x:v>
      </x:c>
    </x:row>
    <x:row r="53" ht="31" customHeight="1">
      <x:c r="A53" s="38" t="str">
        <x:v>Thursday</x:v>
      </x:c>
      <x:c r="B53" s="38" t="str">
        <x:v>Meal 1</x:v>
      </x:c>
      <x:c r="C53" s="43" t="str">
        <x:v>Chicken thigh pesto pasta</x:v>
      </x:c>
      <x:c r="D53" s="43" t="str">
        <x:v>Light green pesto</x:v>
      </x:c>
      <x:c r="E53" s="44" t="n">
        <x:v>35</x:v>
      </x:c>
      <x:c r="F53" s="44" t="str">
        <x:v>As sold</x:v>
      </x:c>
      <x:c r="G53" s="44" t="n">
        <x:f>E53/100*VLOOKUP(D53,'Food Data'!$A$6:$H$24,4,FALSE)</x:f>
        <x:v>89.25</x:v>
      </x:c>
      <x:c r="H53" s="44" t="n">
        <x:f>E53/100*VLOOKUP(D53,'Food Data'!$A$6:$H$24,5,FALSE)</x:f>
        <x:v>1.2249999999999999</x:v>
      </x:c>
      <x:c r="I53" s="44" t="n">
        <x:f>E53/100*VLOOKUP(D53,'Food Data'!$A$6:$H$24,6,FALSE)</x:f>
        <x:v>2.4499999999999997</x:v>
      </x:c>
      <x:c r="J53" s="44" t="n">
        <x:f>E53/100*VLOOKUP(D53,'Food Data'!$A$6:$H$24,7,FALSE)</x:f>
        <x:v>8.399999999999999</x:v>
      </x:c>
      <x:c r="K53" s="44" t="n">
        <x:f>E53/100*VLOOKUP(D53,'Food Data'!$A$6:$H$24,8,FALSE)</x:f>
        <x:v>0.7</x:v>
      </x:c>
    </x:row>
    <x:row r="54" ht="31" customHeight="1">
      <x:c r="A54" s="38" t="str">
        <x:v>Thursday</x:v>
      </x:c>
      <x:c r="B54" s="38" t="str">
        <x:v>Meal 1</x:v>
      </x:c>
      <x:c r="C54" s="43" t="str">
        <x:v>Chicken thigh pesto pasta</x:v>
      </x:c>
      <x:c r="D54" s="43" t="str">
        <x:v>Broccoli</x:v>
      </x:c>
      <x:c r="E54" s="44" t="n">
        <x:v>200</x:v>
      </x:c>
      <x:c r="F54" s="44" t="str">
        <x:v>Raw/frozen</x:v>
      </x:c>
      <x:c r="G54" s="44" t="n">
        <x:f>E54/100*VLOOKUP(D54,'Food Data'!$A$6:$H$24,4,FALSE)</x:f>
        <x:v>68</x:v>
      </x:c>
      <x:c r="H54" s="44" t="n">
        <x:f>E54/100*VLOOKUP(D54,'Food Data'!$A$6:$H$24,5,FALSE)</x:f>
        <x:v>5.6</x:v>
      </x:c>
      <x:c r="I54" s="44" t="n">
        <x:f>E54/100*VLOOKUP(D54,'Food Data'!$A$6:$H$24,6,FALSE)</x:f>
        <x:v>5.4</x:v>
      </x:c>
      <x:c r="J54" s="44" t="n">
        <x:f>E54/100*VLOOKUP(D54,'Food Data'!$A$6:$H$24,7,FALSE)</x:f>
        <x:v>0.8</x:v>
      </x:c>
      <x:c r="K54" s="44" t="n">
        <x:f>E54/100*VLOOKUP(D54,'Food Data'!$A$6:$H$24,8,FALSE)</x:f>
        <x:v>6</x:v>
      </x:c>
    </x:row>
    <x:row r="55" ht="31" customHeight="1">
      <x:c r="A55" s="38" t="str">
        <x:v>Thursday</x:v>
      </x:c>
      <x:c r="B55" s="38" t="str">
        <x:v>Meal 1</x:v>
      </x:c>
      <x:c r="C55" s="43" t="str">
        <x:v>Chicken thigh pesto pasta</x:v>
      </x:c>
      <x:c r="D55" s="43" t="str">
        <x:v>Garden peas</x:v>
      </x:c>
      <x:c r="E55" s="44" t="n">
        <x:v>100</x:v>
      </x:c>
      <x:c r="F55" s="44" t="str">
        <x:v>Frozen</x:v>
      </x:c>
      <x:c r="G55" s="44" t="n">
        <x:f>E55/100*VLOOKUP(D55,'Food Data'!$A$6:$H$24,4,FALSE)</x:f>
        <x:v>85</x:v>
      </x:c>
      <x:c r="H55" s="44" t="n">
        <x:f>E55/100*VLOOKUP(D55,'Food Data'!$A$6:$H$24,5,FALSE)</x:f>
        <x:v>5.7</x:v>
      </x:c>
      <x:c r="I55" s="44" t="n">
        <x:f>E55/100*VLOOKUP(D55,'Food Data'!$A$6:$H$24,6,FALSE)</x:f>
        <x:v>10.8</x:v>
      </x:c>
      <x:c r="J55" s="44" t="n">
        <x:f>E55/100*VLOOKUP(D55,'Food Data'!$A$6:$H$24,7,FALSE)</x:f>
        <x:v>0.9</x:v>
      </x:c>
      <x:c r="K55" s="44" t="n">
        <x:f>E55/100*VLOOKUP(D55,'Food Data'!$A$6:$H$24,8,FALSE)</x:f>
        <x:v>5.7</x:v>
      </x:c>
    </x:row>
    <x:row r="56" ht="31" customHeight="1">
      <x:c r="A56" s="38" t="str">
        <x:v>Thursday</x:v>
      </x:c>
      <x:c r="B56" s="38" t="str">
        <x:v>Meal 1</x:v>
      </x:c>
      <x:c r="C56" s="43" t="str">
        <x:v>Chicken thigh pesto pasta</x:v>
      </x:c>
      <x:c r="D56" s="43" t="str">
        <x:v>Mixed peppers</x:v>
      </x:c>
      <x:c r="E56" s="44" t="n">
        <x:v>100</x:v>
      </x:c>
      <x:c r="F56" s="44" t="str">
        <x:v>Raw</x:v>
      </x:c>
      <x:c r="G56" s="44" t="n">
        <x:f>E56/100*VLOOKUP(D56,'Food Data'!$A$6:$H$24,4,FALSE)</x:f>
        <x:v>26</x:v>
      </x:c>
      <x:c r="H56" s="44" t="n">
        <x:f>E56/100*VLOOKUP(D56,'Food Data'!$A$6:$H$24,5,FALSE)</x:f>
        <x:v>1</x:v>
      </x:c>
      <x:c r="I56" s="44" t="n">
        <x:f>E56/100*VLOOKUP(D56,'Food Data'!$A$6:$H$24,6,FALSE)</x:f>
        <x:v>4.4</x:v>
      </x:c>
      <x:c r="J56" s="44" t="n">
        <x:f>E56/100*VLOOKUP(D56,'Food Data'!$A$6:$H$24,7,FALSE)</x:f>
        <x:v>0.3</x:v>
      </x:c>
      <x:c r="K56" s="44" t="n">
        <x:f>E56/100*VLOOKUP(D56,'Food Data'!$A$6:$H$24,8,FALSE)</x:f>
        <x:v>1.7</x:v>
      </x:c>
    </x:row>
    <x:row r="57" ht="31" customHeight="1">
      <x:c r="A57" s="38" t="str">
        <x:v>Thursday</x:v>
      </x:c>
      <x:c r="B57" s="38" t="str">
        <x:v>Meal 1</x:v>
      </x:c>
      <x:c r="C57" s="43" t="str">
        <x:v>Chicken thigh pesto pasta</x:v>
      </x:c>
      <x:c r="D57" s="43" t="str">
        <x:v>Spring onions</x:v>
      </x:c>
      <x:c r="E57" s="44" t="n">
        <x:v>20</x:v>
      </x:c>
      <x:c r="F57" s="44" t="str">
        <x:v>Raw</x:v>
      </x:c>
      <x:c r="G57" s="44" t="n">
        <x:f>E57/100*VLOOKUP(D57,'Food Data'!$A$6:$H$24,4,FALSE)</x:f>
        <x:v>5.4</x:v>
      </x:c>
      <x:c r="H57" s="44" t="n">
        <x:f>E57/100*VLOOKUP(D57,'Food Data'!$A$6:$H$24,5,FALSE)</x:f>
        <x:v>0.36000000000000004</x:v>
      </x:c>
      <x:c r="I57" s="44" t="n">
        <x:f>E57/100*VLOOKUP(D57,'Food Data'!$A$6:$H$24,6,FALSE)</x:f>
        <x:v>0.86</x:v>
      </x:c>
      <x:c r="J57" s="44" t="n">
        <x:f>E57/100*VLOOKUP(D57,'Food Data'!$A$6:$H$24,7,FALSE)</x:f>
        <x:v>0.04000000000000001</x:v>
      </x:c>
      <x:c r="K57" s="44" t="n">
        <x:f>E57/100*VLOOKUP(D57,'Food Data'!$A$6:$H$24,8,FALSE)</x:f>
        <x:v>0.52</x:v>
      </x:c>
    </x:row>
    <x:row r="58" ht="31" customHeight="1">
      <x:c r="A58" s="38" t="str">
        <x:v>Thursday</x:v>
      </x:c>
      <x:c r="B58" s="38" t="str">
        <x:v>Meal 2</x:v>
      </x:c>
      <x:c r="C58" s="43" t="str">
        <x:v>Salmon rice bowl</x:v>
      </x:c>
      <x:c r="D58" s="43" t="str">
        <x:v>Wild salmon fillets</x:v>
      </x:c>
      <x:c r="E58" s="44" t="n">
        <x:v>219</x:v>
      </x:c>
      <x:c r="F58" s="44" t="str">
        <x:v>Cooked</x:v>
      </x:c>
      <x:c r="G58" s="44" t="n">
        <x:f>E58/100*VLOOKUP(D58,'Food Data'!$A$6:$H$24,4,FALSE)</x:f>
        <x:v>295.65</x:v>
      </x:c>
      <x:c r="H58" s="44" t="n">
        <x:f>E58/100*VLOOKUP(D58,'Food Data'!$A$6:$H$24,5,FALSE)</x:f>
        <x:v>56.064</x:v>
      </x:c>
      <x:c r="I58" s="44" t="n">
        <x:f>E58/100*VLOOKUP(D58,'Food Data'!$A$6:$H$24,6,FALSE)</x:f>
        <x:v>0</x:v>
      </x:c>
      <x:c r="J58" s="44" t="n">
        <x:f>E58/100*VLOOKUP(D58,'Food Data'!$A$6:$H$24,7,FALSE)</x:f>
        <x:v>7.446</x:v>
      </x:c>
      <x:c r="K58" s="44" t="n">
        <x:f>E58/100*VLOOKUP(D58,'Food Data'!$A$6:$H$24,8,FALSE)</x:f>
        <x:v>0</x:v>
      </x:c>
    </x:row>
    <x:row r="59" ht="31" customHeight="1">
      <x:c r="A59" s="38" t="str">
        <x:v>Thursday</x:v>
      </x:c>
      <x:c r="B59" s="38" t="str">
        <x:v>Meal 2</x:v>
      </x:c>
      <x:c r="C59" s="43" t="str">
        <x:v>Salmon rice bowl</x:v>
      </x:c>
      <x:c r="D59" s="43" t="str">
        <x:v>White basmati rice</x:v>
      </x:c>
      <x:c r="E59" s="44" t="n">
        <x:v>61</x:v>
      </x:c>
      <x:c r="F59" s="44" t="str">
        <x:v>Dry</x:v>
      </x:c>
      <x:c r="G59" s="44" t="n">
        <x:f>E59/100*VLOOKUP(D59,'Food Data'!$A$6:$H$24,4,FALSE)</x:f>
        <x:v>214.10999999999999</x:v>
      </x:c>
      <x:c r="H59" s="44" t="n">
        <x:f>E59/100*VLOOKUP(D59,'Food Data'!$A$6:$H$24,5,FALSE)</x:f>
        <x:v>4.758</x:v>
      </x:c>
      <x:c r="I59" s="44" t="n">
        <x:f>E59/100*VLOOKUP(D59,'Food Data'!$A$6:$H$24,6,FALSE)</x:f>
        <x:v>47.397</x:v>
      </x:c>
      <x:c r="J59" s="44" t="n">
        <x:f>E59/100*VLOOKUP(D59,'Food Data'!$A$6:$H$24,7,FALSE)</x:f>
        <x:v>0.488</x:v>
      </x:c>
      <x:c r="K59" s="44" t="n">
        <x:f>E59/100*VLOOKUP(D59,'Food Data'!$A$6:$H$24,8,FALSE)</x:f>
        <x:v>0.61</x:v>
      </x:c>
    </x:row>
    <x:row r="60" ht="31" customHeight="1">
      <x:c r="A60" s="38" t="str">
        <x:v>Thursday</x:v>
      </x:c>
      <x:c r="B60" s="38" t="str">
        <x:v>Meal 2</x:v>
      </x:c>
      <x:c r="C60" s="43" t="str">
        <x:v>Salmon rice bowl</x:v>
      </x:c>
      <x:c r="D60" s="43" t="str">
        <x:v>Avocado flesh</x:v>
      </x:c>
      <x:c r="E60" s="44" t="n">
        <x:v>55</x:v>
      </x:c>
      <x:c r="F60" s="44" t="str">
        <x:v>Flesh</x:v>
      </x:c>
      <x:c r="G60" s="44" t="n">
        <x:f>E60/100*VLOOKUP(D60,'Food Data'!$A$6:$H$24,4,FALSE)</x:f>
        <x:v>108.35000000000001</x:v>
      </x:c>
      <x:c r="H60" s="44" t="n">
        <x:f>E60/100*VLOOKUP(D60,'Food Data'!$A$6:$H$24,5,FALSE)</x:f>
        <x:v>1.045</x:v>
      </x:c>
      <x:c r="I60" s="44" t="n">
        <x:f>E60/100*VLOOKUP(D60,'Food Data'!$A$6:$H$24,6,FALSE)</x:f>
        <x:v>1.045</x:v>
      </x:c>
      <x:c r="J60" s="44" t="n">
        <x:f>E60/100*VLOOKUP(D60,'Food Data'!$A$6:$H$24,7,FALSE)</x:f>
        <x:v>10.725000000000001</x:v>
      </x:c>
      <x:c r="K60" s="44" t="n">
        <x:f>E60/100*VLOOKUP(D60,'Food Data'!$A$6:$H$24,8,FALSE)</x:f>
        <x:v>1.87</x:v>
      </x:c>
    </x:row>
    <x:row r="61" ht="31" customHeight="1">
      <x:c r="A61" s="38" t="str">
        <x:v>Thursday</x:v>
      </x:c>
      <x:c r="B61" s="38" t="str">
        <x:v>Meal 2</x:v>
      </x:c>
      <x:c r="C61" s="43" t="str">
        <x:v>Salmon rice bowl</x:v>
      </x:c>
      <x:c r="D61" s="43" t="str">
        <x:v>Olive oil</x:v>
      </x:c>
      <x:c r="E61" s="44" t="n">
        <x:v>5</x:v>
      </x:c>
      <x:c r="F61" s="44" t="str">
        <x:v>As sold</x:v>
      </x:c>
      <x:c r="G61" s="44" t="n">
        <x:f>E61/100*VLOOKUP(D61,'Food Data'!$A$6:$H$24,4,FALSE)</x:f>
        <x:v>45</x:v>
      </x:c>
      <x:c r="H61" s="44" t="n">
        <x:f>E61/100*VLOOKUP(D61,'Food Data'!$A$6:$H$24,5,FALSE)</x:f>
        <x:v>0</x:v>
      </x:c>
      <x:c r="I61" s="44" t="n">
        <x:f>E61/100*VLOOKUP(D61,'Food Data'!$A$6:$H$24,6,FALSE)</x:f>
        <x:v>0</x:v>
      </x:c>
      <x:c r="J61" s="44" t="n">
        <x:f>E61/100*VLOOKUP(D61,'Food Data'!$A$6:$H$24,7,FALSE)</x:f>
        <x:v>5</x:v>
      </x:c>
      <x:c r="K61" s="44" t="n">
        <x:f>E61/100*VLOOKUP(D61,'Food Data'!$A$6:$H$24,8,FALSE)</x:f>
        <x:v>0</x:v>
      </x:c>
    </x:row>
    <x:row r="62" ht="31" customHeight="1">
      <x:c r="A62" s="38" t="str">
        <x:v>Thursday</x:v>
      </x:c>
      <x:c r="B62" s="38" t="str">
        <x:v>Meal 2</x:v>
      </x:c>
      <x:c r="C62" s="43" t="str">
        <x:v>Salmon rice bowl</x:v>
      </x:c>
      <x:c r="D62" s="43" t="str">
        <x:v>Broccoli</x:v>
      </x:c>
      <x:c r="E62" s="44" t="n">
        <x:v>200</x:v>
      </x:c>
      <x:c r="F62" s="44" t="str">
        <x:v>Raw/frozen</x:v>
      </x:c>
      <x:c r="G62" s="44" t="n">
        <x:f>E62/100*VLOOKUP(D62,'Food Data'!$A$6:$H$24,4,FALSE)</x:f>
        <x:v>68</x:v>
      </x:c>
      <x:c r="H62" s="44" t="n">
        <x:f>E62/100*VLOOKUP(D62,'Food Data'!$A$6:$H$24,5,FALSE)</x:f>
        <x:v>5.6</x:v>
      </x:c>
      <x:c r="I62" s="44" t="n">
        <x:f>E62/100*VLOOKUP(D62,'Food Data'!$A$6:$H$24,6,FALSE)</x:f>
        <x:v>5.4</x:v>
      </x:c>
      <x:c r="J62" s="44" t="n">
        <x:f>E62/100*VLOOKUP(D62,'Food Data'!$A$6:$H$24,7,FALSE)</x:f>
        <x:v>0.8</x:v>
      </x:c>
      <x:c r="K62" s="44" t="n">
        <x:f>E62/100*VLOOKUP(D62,'Food Data'!$A$6:$H$24,8,FALSE)</x:f>
        <x:v>6</x:v>
      </x:c>
    </x:row>
    <x:row r="63" ht="31" customHeight="1">
      <x:c r="A63" s="38" t="str">
        <x:v>Thursday</x:v>
      </x:c>
      <x:c r="B63" s="38" t="str">
        <x:v>Meal 2</x:v>
      </x:c>
      <x:c r="C63" s="43" t="str">
        <x:v>Salmon rice bowl</x:v>
      </x:c>
      <x:c r="D63" s="43" t="str">
        <x:v>Garden peas</x:v>
      </x:c>
      <x:c r="E63" s="44" t="n">
        <x:v>100</x:v>
      </x:c>
      <x:c r="F63" s="44" t="str">
        <x:v>Frozen</x:v>
      </x:c>
      <x:c r="G63" s="44" t="n">
        <x:f>E63/100*VLOOKUP(D63,'Food Data'!$A$6:$H$24,4,FALSE)</x:f>
        <x:v>85</x:v>
      </x:c>
      <x:c r="H63" s="44" t="n">
        <x:f>E63/100*VLOOKUP(D63,'Food Data'!$A$6:$H$24,5,FALSE)</x:f>
        <x:v>5.7</x:v>
      </x:c>
      <x:c r="I63" s="44" t="n">
        <x:f>E63/100*VLOOKUP(D63,'Food Data'!$A$6:$H$24,6,FALSE)</x:f>
        <x:v>10.8</x:v>
      </x:c>
      <x:c r="J63" s="44" t="n">
        <x:f>E63/100*VLOOKUP(D63,'Food Data'!$A$6:$H$24,7,FALSE)</x:f>
        <x:v>0.9</x:v>
      </x:c>
      <x:c r="K63" s="44" t="n">
        <x:f>E63/100*VLOOKUP(D63,'Food Data'!$A$6:$H$24,8,FALSE)</x:f>
        <x:v>5.7</x:v>
      </x:c>
    </x:row>
    <x:row r="64" ht="31" customHeight="1">
      <x:c r="A64" s="38" t="str">
        <x:v>Thursday</x:v>
      </x:c>
      <x:c r="B64" s="38" t="str">
        <x:v>Meal 2</x:v>
      </x:c>
      <x:c r="C64" s="43" t="str">
        <x:v>Salmon rice bowl</x:v>
      </x:c>
      <x:c r="D64" s="43" t="str">
        <x:v>Mixed peppers</x:v>
      </x:c>
      <x:c r="E64" s="44" t="n">
        <x:v>100</x:v>
      </x:c>
      <x:c r="F64" s="44" t="str">
        <x:v>Raw</x:v>
      </x:c>
      <x:c r="G64" s="44" t="n">
        <x:f>E64/100*VLOOKUP(D64,'Food Data'!$A$6:$H$24,4,FALSE)</x:f>
        <x:v>26</x:v>
      </x:c>
      <x:c r="H64" s="44" t="n">
        <x:f>E64/100*VLOOKUP(D64,'Food Data'!$A$6:$H$24,5,FALSE)</x:f>
        <x:v>1</x:v>
      </x:c>
      <x:c r="I64" s="44" t="n">
        <x:f>E64/100*VLOOKUP(D64,'Food Data'!$A$6:$H$24,6,FALSE)</x:f>
        <x:v>4.4</x:v>
      </x:c>
      <x:c r="J64" s="44" t="n">
        <x:f>E64/100*VLOOKUP(D64,'Food Data'!$A$6:$H$24,7,FALSE)</x:f>
        <x:v>0.3</x:v>
      </x:c>
      <x:c r="K64" s="44" t="n">
        <x:f>E64/100*VLOOKUP(D64,'Food Data'!$A$6:$H$24,8,FALSE)</x:f>
        <x:v>1.7</x:v>
      </x:c>
    </x:row>
    <x:row r="65" ht="31" customHeight="1">
      <x:c r="A65" s="38" t="str">
        <x:v>Thursday</x:v>
      </x:c>
      <x:c r="B65" s="38" t="str">
        <x:v>Meal 2</x:v>
      </x:c>
      <x:c r="C65" s="43" t="str">
        <x:v>Salmon rice bowl</x:v>
      </x:c>
      <x:c r="D65" s="43" t="str">
        <x:v>Spring onions</x:v>
      </x:c>
      <x:c r="E65" s="44" t="n">
        <x:v>20</x:v>
      </x:c>
      <x:c r="F65" s="44" t="str">
        <x:v>Raw</x:v>
      </x:c>
      <x:c r="G65" s="44" t="n">
        <x:f>E65/100*VLOOKUP(D65,'Food Data'!$A$6:$H$24,4,FALSE)</x:f>
        <x:v>5.4</x:v>
      </x:c>
      <x:c r="H65" s="44" t="n">
        <x:f>E65/100*VLOOKUP(D65,'Food Data'!$A$6:$H$24,5,FALSE)</x:f>
        <x:v>0.36000000000000004</x:v>
      </x:c>
      <x:c r="I65" s="44" t="n">
        <x:f>E65/100*VLOOKUP(D65,'Food Data'!$A$6:$H$24,6,FALSE)</x:f>
        <x:v>0.86</x:v>
      </x:c>
      <x:c r="J65" s="44" t="n">
        <x:f>E65/100*VLOOKUP(D65,'Food Data'!$A$6:$H$24,7,FALSE)</x:f>
        <x:v>0.04000000000000001</x:v>
      </x:c>
      <x:c r="K65" s="44" t="n">
        <x:f>E65/100*VLOOKUP(D65,'Food Data'!$A$6:$H$24,8,FALSE)</x:f>
        <x:v>0.52</x:v>
      </x:c>
    </x:row>
    <x:row r="66" ht="31" customHeight="1">
      <x:c r="A66" s="38" t="str">
        <x:v>Friday</x:v>
      </x:c>
      <x:c r="B66" s="38" t="str">
        <x:v>Meal 1</x:v>
      </x:c>
      <x:c r="C66" s="43" t="str">
        <x:v>5% mince, feta &amp; tomato pasta</x:v>
      </x:c>
      <x:c r="D66" s="43" t="str">
        <x:v>5% beef mince</x:v>
      </x:c>
      <x:c r="E66" s="44" t="n">
        <x:v>200</x:v>
      </x:c>
      <x:c r="F66" s="44" t="str">
        <x:v>Cooked</x:v>
      </x:c>
      <x:c r="G66" s="44" t="n">
        <x:f>E66/100*VLOOKUP(D66,'Food Data'!$A$6:$H$24,4,FALSE)</x:f>
        <x:v>336</x:v>
      </x:c>
      <x:c r="H66" s="44" t="n">
        <x:f>E66/100*VLOOKUP(D66,'Food Data'!$A$6:$H$24,5,FALSE)</x:f>
        <x:v>62.6</x:v>
      </x:c>
      <x:c r="I66" s="44" t="n">
        <x:f>E66/100*VLOOKUP(D66,'Food Data'!$A$6:$H$24,6,FALSE)</x:f>
        <x:v>0</x:v>
      </x:c>
      <x:c r="J66" s="44" t="n">
        <x:f>E66/100*VLOOKUP(D66,'Food Data'!$A$6:$H$24,7,FALSE)</x:f>
        <x:v>9.4</x:v>
      </x:c>
      <x:c r="K66" s="44" t="n">
        <x:f>E66/100*VLOOKUP(D66,'Food Data'!$A$6:$H$24,8,FALSE)</x:f>
        <x:v>0</x:v>
      </x:c>
    </x:row>
    <x:row r="67" ht="31" customHeight="1">
      <x:c r="A67" s="38" t="str">
        <x:v>Friday</x:v>
      </x:c>
      <x:c r="B67" s="38" t="str">
        <x:v>Meal 1</x:v>
      </x:c>
      <x:c r="C67" s="43" t="str">
        <x:v>5% mince, feta &amp; tomato pasta</x:v>
      </x:c>
      <x:c r="D67" s="43" t="str">
        <x:v>Fusilli pasta</x:v>
      </x:c>
      <x:c r="E67" s="44" t="n">
        <x:v>65</x:v>
      </x:c>
      <x:c r="F67" s="44" t="str">
        <x:v>Dry</x:v>
      </x:c>
      <x:c r="G67" s="44" t="n">
        <x:f>E67/100*VLOOKUP(D67,'Food Data'!$A$6:$H$24,4,FALSE)</x:f>
        <x:v>236.85999999999999</x:v>
      </x:c>
      <x:c r="H67" s="44" t="n">
        <x:f>E67/100*VLOOKUP(D67,'Food Data'!$A$6:$H$24,5,FALSE)</x:f>
        <x:v>7.93</x:v>
      </x:c>
      <x:c r="I67" s="44" t="n">
        <x:f>E67/100*VLOOKUP(D67,'Food Data'!$A$6:$H$24,6,FALSE)</x:f>
        <x:v>47.97</x:v>
      </x:c>
      <x:c r="J67" s="44" t="n">
        <x:f>E67/100*VLOOKUP(D67,'Food Data'!$A$6:$H$24,7,FALSE)</x:f>
        <x:v>1.04</x:v>
      </x:c>
      <x:c r="K67" s="44" t="n">
        <x:f>E67/100*VLOOKUP(D67,'Food Data'!$A$6:$H$24,8,FALSE)</x:f>
        <x:v>2.145</x:v>
      </x:c>
    </x:row>
    <x:row r="68" ht="31" customHeight="1">
      <x:c r="A68" s="38" t="str">
        <x:v>Friday</x:v>
      </x:c>
      <x:c r="B68" s="38" t="str">
        <x:v>Meal 1</x:v>
      </x:c>
      <x:c r="C68" s="43" t="str">
        <x:v>5% mince, feta &amp; tomato pasta</x:v>
      </x:c>
      <x:c r="D68" s="43" t="str">
        <x:v>Chunky vegetable pasta sauce</x:v>
      </x:c>
      <x:c r="E68" s="44" t="n">
        <x:v>125</x:v>
      </x:c>
      <x:c r="F68" s="44" t="str">
        <x:v>As sold</x:v>
      </x:c>
      <x:c r="G68" s="44" t="n">
        <x:f>E68/100*VLOOKUP(D68,'Food Data'!$A$6:$H$24,4,FALSE)</x:f>
        <x:v>52.5</x:v>
      </x:c>
      <x:c r="H68" s="44" t="n">
        <x:f>E68/100*VLOOKUP(D68,'Food Data'!$A$6:$H$24,5,FALSE)</x:f>
        <x:v>1.5</x:v>
      </x:c>
      <x:c r="I68" s="44" t="n">
        <x:f>E68/100*VLOOKUP(D68,'Food Data'!$A$6:$H$24,6,FALSE)</x:f>
        <x:v>9.5</x:v>
      </x:c>
      <x:c r="J68" s="44" t="n">
        <x:f>E68/100*VLOOKUP(D68,'Food Data'!$A$6:$H$24,7,FALSE)</x:f>
        <x:v>0.75</x:v>
      </x:c>
      <x:c r="K68" s="44" t="n">
        <x:f>E68/100*VLOOKUP(D68,'Food Data'!$A$6:$H$24,8,FALSE)</x:f>
        <x:v>0.75</x:v>
      </x:c>
    </x:row>
    <x:row r="69" ht="31" customHeight="1">
      <x:c r="A69" s="38" t="str">
        <x:v>Friday</x:v>
      </x:c>
      <x:c r="B69" s="38" t="str">
        <x:v>Meal 1</x:v>
      </x:c>
      <x:c r="C69" s="43" t="str">
        <x:v>5% mince, feta &amp; tomato pasta</x:v>
      </x:c>
      <x:c r="D69" s="43" t="str">
        <x:v>Greek feta</x:v>
      </x:c>
      <x:c r="E69" s="44" t="n">
        <x:v>45</x:v>
      </x:c>
      <x:c r="F69" s="44" t="str">
        <x:v>As sold</x:v>
      </x:c>
      <x:c r="G69" s="44" t="n">
        <x:f>E69/100*VLOOKUP(D69,'Food Data'!$A$6:$H$24,4,FALSE)</x:f>
        <x:v>124.2</x:v>
      </x:c>
      <x:c r="H69" s="44" t="n">
        <x:f>E69/100*VLOOKUP(D69,'Food Data'!$A$6:$H$24,5,FALSE)</x:f>
        <x:v>7.2</x:v>
      </x:c>
      <x:c r="I69" s="44" t="n">
        <x:f>E69/100*VLOOKUP(D69,'Food Data'!$A$6:$H$24,6,FALSE)</x:f>
        <x:v>0.315</x:v>
      </x:c>
      <x:c r="J69" s="44" t="n">
        <x:f>E69/100*VLOOKUP(D69,'Food Data'!$A$6:$H$24,7,FALSE)</x:f>
        <x:v>10.35</x:v>
      </x:c>
      <x:c r="K69" s="44" t="n">
        <x:f>E69/100*VLOOKUP(D69,'Food Data'!$A$6:$H$24,8,FALSE)</x:f>
        <x:v>0</x:v>
      </x:c>
    </x:row>
    <x:row r="70" ht="31" customHeight="1">
      <x:c r="A70" s="38" t="str">
        <x:v>Friday</x:v>
      </x:c>
      <x:c r="B70" s="38" t="str">
        <x:v>Meal 1</x:v>
      </x:c>
      <x:c r="C70" s="43" t="str">
        <x:v>5% mince, feta &amp; tomato pasta</x:v>
      </x:c>
      <x:c r="D70" s="43" t="str">
        <x:v>Broccoli</x:v>
      </x:c>
      <x:c r="E70" s="44" t="n">
        <x:v>200</x:v>
      </x:c>
      <x:c r="F70" s="44" t="str">
        <x:v>Raw/frozen</x:v>
      </x:c>
      <x:c r="G70" s="44" t="n">
        <x:f>E70/100*VLOOKUP(D70,'Food Data'!$A$6:$H$24,4,FALSE)</x:f>
        <x:v>68</x:v>
      </x:c>
      <x:c r="H70" s="44" t="n">
        <x:f>E70/100*VLOOKUP(D70,'Food Data'!$A$6:$H$24,5,FALSE)</x:f>
        <x:v>5.6</x:v>
      </x:c>
      <x:c r="I70" s="44" t="n">
        <x:f>E70/100*VLOOKUP(D70,'Food Data'!$A$6:$H$24,6,FALSE)</x:f>
        <x:v>5.4</x:v>
      </x:c>
      <x:c r="J70" s="44" t="n">
        <x:f>E70/100*VLOOKUP(D70,'Food Data'!$A$6:$H$24,7,FALSE)</x:f>
        <x:v>0.8</x:v>
      </x:c>
      <x:c r="K70" s="44" t="n">
        <x:f>E70/100*VLOOKUP(D70,'Food Data'!$A$6:$H$24,8,FALSE)</x:f>
        <x:v>6</x:v>
      </x:c>
    </x:row>
    <x:row r="71" ht="31" customHeight="1">
      <x:c r="A71" s="38" t="str">
        <x:v>Friday</x:v>
      </x:c>
      <x:c r="B71" s="38" t="str">
        <x:v>Meal 1</x:v>
      </x:c>
      <x:c r="C71" s="43" t="str">
        <x:v>5% mince, feta &amp; tomato pasta</x:v>
      </x:c>
      <x:c r="D71" s="43" t="str">
        <x:v>Garden peas</x:v>
      </x:c>
      <x:c r="E71" s="44" t="n">
        <x:v>100</x:v>
      </x:c>
      <x:c r="F71" s="44" t="str">
        <x:v>Frozen</x:v>
      </x:c>
      <x:c r="G71" s="44" t="n">
        <x:f>E71/100*VLOOKUP(D71,'Food Data'!$A$6:$H$24,4,FALSE)</x:f>
        <x:v>85</x:v>
      </x:c>
      <x:c r="H71" s="44" t="n">
        <x:f>E71/100*VLOOKUP(D71,'Food Data'!$A$6:$H$24,5,FALSE)</x:f>
        <x:v>5.7</x:v>
      </x:c>
      <x:c r="I71" s="44" t="n">
        <x:f>E71/100*VLOOKUP(D71,'Food Data'!$A$6:$H$24,6,FALSE)</x:f>
        <x:v>10.8</x:v>
      </x:c>
      <x:c r="J71" s="44" t="n">
        <x:f>E71/100*VLOOKUP(D71,'Food Data'!$A$6:$H$24,7,FALSE)</x:f>
        <x:v>0.9</x:v>
      </x:c>
      <x:c r="K71" s="44" t="n">
        <x:f>E71/100*VLOOKUP(D71,'Food Data'!$A$6:$H$24,8,FALSE)</x:f>
        <x:v>5.7</x:v>
      </x:c>
    </x:row>
    <x:row r="72" ht="31" customHeight="1">
      <x:c r="A72" s="38" t="str">
        <x:v>Friday</x:v>
      </x:c>
      <x:c r="B72" s="38" t="str">
        <x:v>Meal 1</x:v>
      </x:c>
      <x:c r="C72" s="43" t="str">
        <x:v>5% mince, feta &amp; tomato pasta</x:v>
      </x:c>
      <x:c r="D72" s="43" t="str">
        <x:v>Mixed peppers</x:v>
      </x:c>
      <x:c r="E72" s="44" t="n">
        <x:v>100</x:v>
      </x:c>
      <x:c r="F72" s="44" t="str">
        <x:v>Raw</x:v>
      </x:c>
      <x:c r="G72" s="44" t="n">
        <x:f>E72/100*VLOOKUP(D72,'Food Data'!$A$6:$H$24,4,FALSE)</x:f>
        <x:v>26</x:v>
      </x:c>
      <x:c r="H72" s="44" t="n">
        <x:f>E72/100*VLOOKUP(D72,'Food Data'!$A$6:$H$24,5,FALSE)</x:f>
        <x:v>1</x:v>
      </x:c>
      <x:c r="I72" s="44" t="n">
        <x:f>E72/100*VLOOKUP(D72,'Food Data'!$A$6:$H$24,6,FALSE)</x:f>
        <x:v>4.4</x:v>
      </x:c>
      <x:c r="J72" s="44" t="n">
        <x:f>E72/100*VLOOKUP(D72,'Food Data'!$A$6:$H$24,7,FALSE)</x:f>
        <x:v>0.3</x:v>
      </x:c>
      <x:c r="K72" s="44" t="n">
        <x:f>E72/100*VLOOKUP(D72,'Food Data'!$A$6:$H$24,8,FALSE)</x:f>
        <x:v>1.7</x:v>
      </x:c>
    </x:row>
    <x:row r="73" ht="31" customHeight="1">
      <x:c r="A73" s="38" t="str">
        <x:v>Friday</x:v>
      </x:c>
      <x:c r="B73" s="38" t="str">
        <x:v>Meal 1</x:v>
      </x:c>
      <x:c r="C73" s="43" t="str">
        <x:v>5% mince, feta &amp; tomato pasta</x:v>
      </x:c>
      <x:c r="D73" s="43" t="str">
        <x:v>Spring onions</x:v>
      </x:c>
      <x:c r="E73" s="44" t="n">
        <x:v>20</x:v>
      </x:c>
      <x:c r="F73" s="44" t="str">
        <x:v>Raw</x:v>
      </x:c>
      <x:c r="G73" s="44" t="n">
        <x:f>E73/100*VLOOKUP(D73,'Food Data'!$A$6:$H$24,4,FALSE)</x:f>
        <x:v>5.4</x:v>
      </x:c>
      <x:c r="H73" s="44" t="n">
        <x:f>E73/100*VLOOKUP(D73,'Food Data'!$A$6:$H$24,5,FALSE)</x:f>
        <x:v>0.36000000000000004</x:v>
      </x:c>
      <x:c r="I73" s="44" t="n">
        <x:f>E73/100*VLOOKUP(D73,'Food Data'!$A$6:$H$24,6,FALSE)</x:f>
        <x:v>0.86</x:v>
      </x:c>
      <x:c r="J73" s="44" t="n">
        <x:f>E73/100*VLOOKUP(D73,'Food Data'!$A$6:$H$24,7,FALSE)</x:f>
        <x:v>0.04000000000000001</x:v>
      </x:c>
      <x:c r="K73" s="44" t="n">
        <x:f>E73/100*VLOOKUP(D73,'Food Data'!$A$6:$H$24,8,FALSE)</x:f>
        <x:v>0.52</x:v>
      </x:c>
    </x:row>
    <x:row r="74" ht="31" customHeight="1">
      <x:c r="A74" s="38" t="str">
        <x:v>Friday</x:v>
      </x:c>
      <x:c r="B74" s="38" t="str">
        <x:v>Meal 2</x:v>
      </x:c>
      <x:c r="C74" s="43" t="str">
        <x:v>Sirloin steak rice bowl</x:v>
      </x:c>
      <x:c r="D74" s="43" t="str">
        <x:v>Sirloin steak</x:v>
      </x:c>
      <x:c r="E74" s="44" t="n">
        <x:v>180</x:v>
      </x:c>
      <x:c r="F74" s="44" t="str">
        <x:v>Cooked</x:v>
      </x:c>
      <x:c r="G74" s="44" t="n">
        <x:f>E74/100*VLOOKUP(D74,'Food Data'!$A$6:$H$24,4,FALSE)</x:f>
        <x:v>340.2</x:v>
      </x:c>
      <x:c r="H74" s="44" t="n">
        <x:f>E74/100*VLOOKUP(D74,'Food Data'!$A$6:$H$24,5,FALSE)</x:f>
        <x:v>49.86</x:v>
      </x:c>
      <x:c r="I74" s="44" t="n">
        <x:f>E74/100*VLOOKUP(D74,'Food Data'!$A$6:$H$24,6,FALSE)</x:f>
        <x:v>0</x:v>
      </x:c>
      <x:c r="J74" s="44" t="n">
        <x:f>E74/100*VLOOKUP(D74,'Food Data'!$A$6:$H$24,7,FALSE)</x:f>
        <x:v>15.659999999999998</x:v>
      </x:c>
      <x:c r="K74" s="44" t="n">
        <x:f>E74/100*VLOOKUP(D74,'Food Data'!$A$6:$H$24,8,FALSE)</x:f>
        <x:v>0</x:v>
      </x:c>
    </x:row>
    <x:row r="75" ht="31" customHeight="1">
      <x:c r="A75" s="38" t="str">
        <x:v>Friday</x:v>
      </x:c>
      <x:c r="B75" s="38" t="str">
        <x:v>Meal 2</x:v>
      </x:c>
      <x:c r="C75" s="43" t="str">
        <x:v>Sirloin steak rice bowl</x:v>
      </x:c>
      <x:c r="D75" s="43" t="str">
        <x:v>White basmati rice</x:v>
      </x:c>
      <x:c r="E75" s="44" t="n">
        <x:v>60</x:v>
      </x:c>
      <x:c r="F75" s="44" t="str">
        <x:v>Dry</x:v>
      </x:c>
      <x:c r="G75" s="44" t="n">
        <x:f>E75/100*VLOOKUP(D75,'Food Data'!$A$6:$H$24,4,FALSE)</x:f>
        <x:v>210.6</x:v>
      </x:c>
      <x:c r="H75" s="44" t="n">
        <x:f>E75/100*VLOOKUP(D75,'Food Data'!$A$6:$H$24,5,FALSE)</x:f>
        <x:v>4.68</x:v>
      </x:c>
      <x:c r="I75" s="44" t="n">
        <x:f>E75/100*VLOOKUP(D75,'Food Data'!$A$6:$H$24,6,FALSE)</x:f>
        <x:v>46.62</x:v>
      </x:c>
      <x:c r="J75" s="44" t="n">
        <x:f>E75/100*VLOOKUP(D75,'Food Data'!$A$6:$H$24,7,FALSE)</x:f>
        <x:v>0.48</x:v>
      </x:c>
      <x:c r="K75" s="44" t="n">
        <x:f>E75/100*VLOOKUP(D75,'Food Data'!$A$6:$H$24,8,FALSE)</x:f>
        <x:v>0.6</x:v>
      </x:c>
    </x:row>
    <x:row r="76" ht="31" customHeight="1">
      <x:c r="A76" s="38" t="str">
        <x:v>Friday</x:v>
      </x:c>
      <x:c r="B76" s="38" t="str">
        <x:v>Meal 2</x:v>
      </x:c>
      <x:c r="C76" s="43" t="str">
        <x:v>Sirloin steak rice bowl</x:v>
      </x:c>
      <x:c r="D76" s="43" t="str">
        <x:v>Avocado flesh</x:v>
      </x:c>
      <x:c r="E76" s="44" t="n">
        <x:v>70</x:v>
      </x:c>
      <x:c r="F76" s="44" t="str">
        <x:v>Flesh</x:v>
      </x:c>
      <x:c r="G76" s="44" t="n">
        <x:f>E76/100*VLOOKUP(D76,'Food Data'!$A$6:$H$24,4,FALSE)</x:f>
        <x:v>137.89999999999998</x:v>
      </x:c>
      <x:c r="H76" s="44" t="n">
        <x:f>E76/100*VLOOKUP(D76,'Food Data'!$A$6:$H$24,5,FALSE)</x:f>
        <x:v>1.3299999999999998</x:v>
      </x:c>
      <x:c r="I76" s="44" t="n">
        <x:f>E76/100*VLOOKUP(D76,'Food Data'!$A$6:$H$24,6,FALSE)</x:f>
        <x:v>1.3299999999999998</x:v>
      </x:c>
      <x:c r="J76" s="44" t="n">
        <x:f>E76/100*VLOOKUP(D76,'Food Data'!$A$6:$H$24,7,FALSE)</x:f>
        <x:v>13.649999999999999</x:v>
      </x:c>
      <x:c r="K76" s="44" t="n">
        <x:f>E76/100*VLOOKUP(D76,'Food Data'!$A$6:$H$24,8,FALSE)</x:f>
        <x:v>2.38</x:v>
      </x:c>
    </x:row>
    <x:row r="77" ht="31" customHeight="1">
      <x:c r="A77" s="38" t="str">
        <x:v>Friday</x:v>
      </x:c>
      <x:c r="B77" s="38" t="str">
        <x:v>Meal 2</x:v>
      </x:c>
      <x:c r="C77" s="43" t="str">
        <x:v>Sirloin steak rice bowl</x:v>
      </x:c>
      <x:c r="D77" s="43" t="str">
        <x:v>Olive oil</x:v>
      </x:c>
      <x:c r="E77" s="44" t="n">
        <x:v>0</x:v>
      </x:c>
      <x:c r="F77" s="44" t="str">
        <x:v>As sold</x:v>
      </x:c>
      <x:c r="G77" s="44" t="n">
        <x:f>E77/100*VLOOKUP(D77,'Food Data'!$A$6:$H$24,4,FALSE)</x:f>
        <x:v>0</x:v>
      </x:c>
      <x:c r="H77" s="44" t="n">
        <x:f>E77/100*VLOOKUP(D77,'Food Data'!$A$6:$H$24,5,FALSE)</x:f>
        <x:v>0</x:v>
      </x:c>
      <x:c r="I77" s="44" t="n">
        <x:f>E77/100*VLOOKUP(D77,'Food Data'!$A$6:$H$24,6,FALSE)</x:f>
        <x:v>0</x:v>
      </x:c>
      <x:c r="J77" s="44" t="n">
        <x:f>E77/100*VLOOKUP(D77,'Food Data'!$A$6:$H$24,7,FALSE)</x:f>
        <x:v>0</x:v>
      </x:c>
      <x:c r="K77" s="44" t="n">
        <x:f>E77/100*VLOOKUP(D77,'Food Data'!$A$6:$H$24,8,FALSE)</x:f>
        <x:v>0</x:v>
      </x:c>
    </x:row>
    <x:row r="78" ht="31" customHeight="1">
      <x:c r="A78" s="38" t="str">
        <x:v>Friday</x:v>
      </x:c>
      <x:c r="B78" s="38" t="str">
        <x:v>Meal 2</x:v>
      </x:c>
      <x:c r="C78" s="43" t="str">
        <x:v>Sirloin steak rice bowl</x:v>
      </x:c>
      <x:c r="D78" s="43" t="str">
        <x:v>Broccoli</x:v>
      </x:c>
      <x:c r="E78" s="44" t="n">
        <x:v>200</x:v>
      </x:c>
      <x:c r="F78" s="44" t="str">
        <x:v>Raw/frozen</x:v>
      </x:c>
      <x:c r="G78" s="44" t="n">
        <x:f>E78/100*VLOOKUP(D78,'Food Data'!$A$6:$H$24,4,FALSE)</x:f>
        <x:v>68</x:v>
      </x:c>
      <x:c r="H78" s="44" t="n">
        <x:f>E78/100*VLOOKUP(D78,'Food Data'!$A$6:$H$24,5,FALSE)</x:f>
        <x:v>5.6</x:v>
      </x:c>
      <x:c r="I78" s="44" t="n">
        <x:f>E78/100*VLOOKUP(D78,'Food Data'!$A$6:$H$24,6,FALSE)</x:f>
        <x:v>5.4</x:v>
      </x:c>
      <x:c r="J78" s="44" t="n">
        <x:f>E78/100*VLOOKUP(D78,'Food Data'!$A$6:$H$24,7,FALSE)</x:f>
        <x:v>0.8</x:v>
      </x:c>
      <x:c r="K78" s="44" t="n">
        <x:f>E78/100*VLOOKUP(D78,'Food Data'!$A$6:$H$24,8,FALSE)</x:f>
        <x:v>6</x:v>
      </x:c>
    </x:row>
    <x:row r="79" ht="31" customHeight="1">
      <x:c r="A79" s="38" t="str">
        <x:v>Friday</x:v>
      </x:c>
      <x:c r="B79" s="38" t="str">
        <x:v>Meal 2</x:v>
      </x:c>
      <x:c r="C79" s="43" t="str">
        <x:v>Sirloin steak rice bowl</x:v>
      </x:c>
      <x:c r="D79" s="43" t="str">
        <x:v>Garden peas</x:v>
      </x:c>
      <x:c r="E79" s="44" t="n">
        <x:v>100</x:v>
      </x:c>
      <x:c r="F79" s="44" t="str">
        <x:v>Frozen</x:v>
      </x:c>
      <x:c r="G79" s="44" t="n">
        <x:f>E79/100*VLOOKUP(D79,'Food Data'!$A$6:$H$24,4,FALSE)</x:f>
        <x:v>85</x:v>
      </x:c>
      <x:c r="H79" s="44" t="n">
        <x:f>E79/100*VLOOKUP(D79,'Food Data'!$A$6:$H$24,5,FALSE)</x:f>
        <x:v>5.7</x:v>
      </x:c>
      <x:c r="I79" s="44" t="n">
        <x:f>E79/100*VLOOKUP(D79,'Food Data'!$A$6:$H$24,6,FALSE)</x:f>
        <x:v>10.8</x:v>
      </x:c>
      <x:c r="J79" s="44" t="n">
        <x:f>E79/100*VLOOKUP(D79,'Food Data'!$A$6:$H$24,7,FALSE)</x:f>
        <x:v>0.9</x:v>
      </x:c>
      <x:c r="K79" s="44" t="n">
        <x:f>E79/100*VLOOKUP(D79,'Food Data'!$A$6:$H$24,8,FALSE)</x:f>
        <x:v>5.7</x:v>
      </x:c>
    </x:row>
    <x:row r="80" ht="31" customHeight="1">
      <x:c r="A80" s="38" t="str">
        <x:v>Friday</x:v>
      </x:c>
      <x:c r="B80" s="38" t="str">
        <x:v>Meal 2</x:v>
      </x:c>
      <x:c r="C80" s="43" t="str">
        <x:v>Sirloin steak rice bowl</x:v>
      </x:c>
      <x:c r="D80" s="43" t="str">
        <x:v>Mixed peppers</x:v>
      </x:c>
      <x:c r="E80" s="44" t="n">
        <x:v>100</x:v>
      </x:c>
      <x:c r="F80" s="44" t="str">
        <x:v>Raw</x:v>
      </x:c>
      <x:c r="G80" s="44" t="n">
        <x:f>E80/100*VLOOKUP(D80,'Food Data'!$A$6:$H$24,4,FALSE)</x:f>
        <x:v>26</x:v>
      </x:c>
      <x:c r="H80" s="44" t="n">
        <x:f>E80/100*VLOOKUP(D80,'Food Data'!$A$6:$H$24,5,FALSE)</x:f>
        <x:v>1</x:v>
      </x:c>
      <x:c r="I80" s="44" t="n">
        <x:f>E80/100*VLOOKUP(D80,'Food Data'!$A$6:$H$24,6,FALSE)</x:f>
        <x:v>4.4</x:v>
      </x:c>
      <x:c r="J80" s="44" t="n">
        <x:f>E80/100*VLOOKUP(D80,'Food Data'!$A$6:$H$24,7,FALSE)</x:f>
        <x:v>0.3</x:v>
      </x:c>
      <x:c r="K80" s="44" t="n">
        <x:f>E80/100*VLOOKUP(D80,'Food Data'!$A$6:$H$24,8,FALSE)</x:f>
        <x:v>1.7</x:v>
      </x:c>
    </x:row>
    <x:row r="81" ht="31" customHeight="1">
      <x:c r="A81" s="38" t="str">
        <x:v>Friday</x:v>
      </x:c>
      <x:c r="B81" s="38" t="str">
        <x:v>Meal 2</x:v>
      </x:c>
      <x:c r="C81" s="43" t="str">
        <x:v>Sirloin steak rice bowl</x:v>
      </x:c>
      <x:c r="D81" s="43" t="str">
        <x:v>Spring onions</x:v>
      </x:c>
      <x:c r="E81" s="44" t="n">
        <x:v>20</x:v>
      </x:c>
      <x:c r="F81" s="44" t="str">
        <x:v>Raw</x:v>
      </x:c>
      <x:c r="G81" s="44" t="n">
        <x:f>E81/100*VLOOKUP(D81,'Food Data'!$A$6:$H$24,4,FALSE)</x:f>
        <x:v>5.4</x:v>
      </x:c>
      <x:c r="H81" s="44" t="n">
        <x:f>E81/100*VLOOKUP(D81,'Food Data'!$A$6:$H$24,5,FALSE)</x:f>
        <x:v>0.36000000000000004</x:v>
      </x:c>
      <x:c r="I81" s="44" t="n">
        <x:f>E81/100*VLOOKUP(D81,'Food Data'!$A$6:$H$24,6,FALSE)</x:f>
        <x:v>0.86</x:v>
      </x:c>
      <x:c r="J81" s="44" t="n">
        <x:f>E81/100*VLOOKUP(D81,'Food Data'!$A$6:$H$24,7,FALSE)</x:f>
        <x:v>0.04000000000000001</x:v>
      </x:c>
      <x:c r="K81" s="44" t="n">
        <x:f>E81/100*VLOOKUP(D81,'Food Data'!$A$6:$H$24,8,FALSE)</x:f>
        <x:v>0.52</x:v>
      </x:c>
    </x:row>
    <x:row r="82" ht="31" customHeight="1">
      <x:c r="A82" s="38" t="str">
        <x:v>Saturday</x:v>
      </x:c>
      <x:c r="B82" s="38" t="str">
        <x:v>Meal 1</x:v>
      </x:c>
      <x:c r="C82" s="43" t="str">
        <x:v>Chicken thigh rice bowl</x:v>
      </x:c>
      <x:c r="D82" s="43" t="str">
        <x:v>Chicken thigh fillets</x:v>
      </x:c>
      <x:c r="E82" s="44" t="n">
        <x:v>245</x:v>
      </x:c>
      <x:c r="F82" s="44" t="str">
        <x:v>Cooked</x:v>
      </x:c>
      <x:c r="G82" s="44" t="n">
        <x:f>E82/100*VLOOKUP(D82,'Food Data'!$A$6:$H$24,4,FALSE)</x:f>
        <x:v>411.6</x:v>
      </x:c>
      <x:c r="H82" s="44" t="n">
        <x:f>E82/100*VLOOKUP(D82,'Food Data'!$A$6:$H$24,5,FALSE)</x:f>
        <x:v>60.760000000000005</x:v>
      </x:c>
      <x:c r="I82" s="44" t="n">
        <x:f>E82/100*VLOOKUP(D82,'Food Data'!$A$6:$H$24,6,FALSE)</x:f>
        <x:v>0</x:v>
      </x:c>
      <x:c r="J82" s="44" t="n">
        <x:f>E82/100*VLOOKUP(D82,'Food Data'!$A$6:$H$24,7,FALSE)</x:f>
        <x:v>18.62</x:v>
      </x:c>
      <x:c r="K82" s="44" t="n">
        <x:f>E82/100*VLOOKUP(D82,'Food Data'!$A$6:$H$24,8,FALSE)</x:f>
        <x:v>0</x:v>
      </x:c>
    </x:row>
    <x:row r="83" ht="31" customHeight="1">
      <x:c r="A83" s="38" t="str">
        <x:v>Saturday</x:v>
      </x:c>
      <x:c r="B83" s="38" t="str">
        <x:v>Meal 1</x:v>
      </x:c>
      <x:c r="C83" s="43" t="str">
        <x:v>Chicken thigh rice bowl</x:v>
      </x:c>
      <x:c r="D83" s="43" t="str">
        <x:v>White basmati rice</x:v>
      </x:c>
      <x:c r="E83" s="44" t="n">
        <x:v>54</x:v>
      </x:c>
      <x:c r="F83" s="44" t="str">
        <x:v>Dry</x:v>
      </x:c>
      <x:c r="G83" s="44" t="n">
        <x:f>E83/100*VLOOKUP(D83,'Food Data'!$A$6:$H$24,4,FALSE)</x:f>
        <x:v>189.54000000000002</x:v>
      </x:c>
      <x:c r="H83" s="44" t="n">
        <x:f>E83/100*VLOOKUP(D83,'Food Data'!$A$6:$H$24,5,FALSE)</x:f>
        <x:v>4.212</x:v>
      </x:c>
      <x:c r="I83" s="44" t="n">
        <x:f>E83/100*VLOOKUP(D83,'Food Data'!$A$6:$H$24,6,FALSE)</x:f>
        <x:v>41.958000000000006</x:v>
      </x:c>
      <x:c r="J83" s="44" t="n">
        <x:f>E83/100*VLOOKUP(D83,'Food Data'!$A$6:$H$24,7,FALSE)</x:f>
        <x:v>0.43200000000000005</x:v>
      </x:c>
      <x:c r="K83" s="44" t="n">
        <x:f>E83/100*VLOOKUP(D83,'Food Data'!$A$6:$H$24,8,FALSE)</x:f>
        <x:v>0.54</x:v>
      </x:c>
    </x:row>
    <x:row r="84" ht="31" customHeight="1">
      <x:c r="A84" s="38" t="str">
        <x:v>Saturday</x:v>
      </x:c>
      <x:c r="B84" s="38" t="str">
        <x:v>Meal 1</x:v>
      </x:c>
      <x:c r="C84" s="43" t="str">
        <x:v>Chicken thigh rice bowl</x:v>
      </x:c>
      <x:c r="D84" s="43" t="str">
        <x:v>Avocado flesh</x:v>
      </x:c>
      <x:c r="E84" s="44" t="n">
        <x:v>40</x:v>
      </x:c>
      <x:c r="F84" s="44" t="str">
        <x:v>Flesh</x:v>
      </x:c>
      <x:c r="G84" s="44" t="n">
        <x:f>E84/100*VLOOKUP(D84,'Food Data'!$A$6:$H$24,4,FALSE)</x:f>
        <x:v>78.80000000000001</x:v>
      </x:c>
      <x:c r="H84" s="44" t="n">
        <x:f>E84/100*VLOOKUP(D84,'Food Data'!$A$6:$H$24,5,FALSE)</x:f>
        <x:v>0.76</x:v>
      </x:c>
      <x:c r="I84" s="44" t="n">
        <x:f>E84/100*VLOOKUP(D84,'Food Data'!$A$6:$H$24,6,FALSE)</x:f>
        <x:v>0.76</x:v>
      </x:c>
      <x:c r="J84" s="44" t="n">
        <x:f>E84/100*VLOOKUP(D84,'Food Data'!$A$6:$H$24,7,FALSE)</x:f>
        <x:v>7.800000000000001</x:v>
      </x:c>
      <x:c r="K84" s="44" t="n">
        <x:f>E84/100*VLOOKUP(D84,'Food Data'!$A$6:$H$24,8,FALSE)</x:f>
        <x:v>1.36</x:v>
      </x:c>
    </x:row>
    <x:row r="85" ht="31" customHeight="1">
      <x:c r="A85" s="38" t="str">
        <x:v>Saturday</x:v>
      </x:c>
      <x:c r="B85" s="38" t="str">
        <x:v>Meal 1</x:v>
      </x:c>
      <x:c r="C85" s="43" t="str">
        <x:v>Chicken thigh rice bowl</x:v>
      </x:c>
      <x:c r="D85" s="43" t="str">
        <x:v>Broccoli</x:v>
      </x:c>
      <x:c r="E85" s="44" t="n">
        <x:v>200</x:v>
      </x:c>
      <x:c r="F85" s="44" t="str">
        <x:v>Raw/frozen</x:v>
      </x:c>
      <x:c r="G85" s="44" t="n">
        <x:f>E85/100*VLOOKUP(D85,'Food Data'!$A$6:$H$24,4,FALSE)</x:f>
        <x:v>68</x:v>
      </x:c>
      <x:c r="H85" s="44" t="n">
        <x:f>E85/100*VLOOKUP(D85,'Food Data'!$A$6:$H$24,5,FALSE)</x:f>
        <x:v>5.6</x:v>
      </x:c>
      <x:c r="I85" s="44" t="n">
        <x:f>E85/100*VLOOKUP(D85,'Food Data'!$A$6:$H$24,6,FALSE)</x:f>
        <x:v>5.4</x:v>
      </x:c>
      <x:c r="J85" s="44" t="n">
        <x:f>E85/100*VLOOKUP(D85,'Food Data'!$A$6:$H$24,7,FALSE)</x:f>
        <x:v>0.8</x:v>
      </x:c>
      <x:c r="K85" s="44" t="n">
        <x:f>E85/100*VLOOKUP(D85,'Food Data'!$A$6:$H$24,8,FALSE)</x:f>
        <x:v>6</x:v>
      </x:c>
    </x:row>
    <x:row r="86" ht="31" customHeight="1">
      <x:c r="A86" s="38" t="str">
        <x:v>Saturday</x:v>
      </x:c>
      <x:c r="B86" s="38" t="str">
        <x:v>Meal 1</x:v>
      </x:c>
      <x:c r="C86" s="43" t="str">
        <x:v>Chicken thigh rice bowl</x:v>
      </x:c>
      <x:c r="D86" s="43" t="str">
        <x:v>Garden peas</x:v>
      </x:c>
      <x:c r="E86" s="44" t="n">
        <x:v>100</x:v>
      </x:c>
      <x:c r="F86" s="44" t="str">
        <x:v>Frozen</x:v>
      </x:c>
      <x:c r="G86" s="44" t="n">
        <x:f>E86/100*VLOOKUP(D86,'Food Data'!$A$6:$H$24,4,FALSE)</x:f>
        <x:v>85</x:v>
      </x:c>
      <x:c r="H86" s="44" t="n">
        <x:f>E86/100*VLOOKUP(D86,'Food Data'!$A$6:$H$24,5,FALSE)</x:f>
        <x:v>5.7</x:v>
      </x:c>
      <x:c r="I86" s="44" t="n">
        <x:f>E86/100*VLOOKUP(D86,'Food Data'!$A$6:$H$24,6,FALSE)</x:f>
        <x:v>10.8</x:v>
      </x:c>
      <x:c r="J86" s="44" t="n">
        <x:f>E86/100*VLOOKUP(D86,'Food Data'!$A$6:$H$24,7,FALSE)</x:f>
        <x:v>0.9</x:v>
      </x:c>
      <x:c r="K86" s="44" t="n">
        <x:f>E86/100*VLOOKUP(D86,'Food Data'!$A$6:$H$24,8,FALSE)</x:f>
        <x:v>5.7</x:v>
      </x:c>
    </x:row>
    <x:row r="87" ht="31" customHeight="1">
      <x:c r="A87" s="38" t="str">
        <x:v>Saturday</x:v>
      </x:c>
      <x:c r="B87" s="38" t="str">
        <x:v>Meal 1</x:v>
      </x:c>
      <x:c r="C87" s="43" t="str">
        <x:v>Chicken thigh rice bowl</x:v>
      </x:c>
      <x:c r="D87" s="43" t="str">
        <x:v>Mixed peppers</x:v>
      </x:c>
      <x:c r="E87" s="44" t="n">
        <x:v>100</x:v>
      </x:c>
      <x:c r="F87" s="44" t="str">
        <x:v>Raw</x:v>
      </x:c>
      <x:c r="G87" s="44" t="n">
        <x:f>E87/100*VLOOKUP(D87,'Food Data'!$A$6:$H$24,4,FALSE)</x:f>
        <x:v>26</x:v>
      </x:c>
      <x:c r="H87" s="44" t="n">
        <x:f>E87/100*VLOOKUP(D87,'Food Data'!$A$6:$H$24,5,FALSE)</x:f>
        <x:v>1</x:v>
      </x:c>
      <x:c r="I87" s="44" t="n">
        <x:f>E87/100*VLOOKUP(D87,'Food Data'!$A$6:$H$24,6,FALSE)</x:f>
        <x:v>4.4</x:v>
      </x:c>
      <x:c r="J87" s="44" t="n">
        <x:f>E87/100*VLOOKUP(D87,'Food Data'!$A$6:$H$24,7,FALSE)</x:f>
        <x:v>0.3</x:v>
      </x:c>
      <x:c r="K87" s="44" t="n">
        <x:f>E87/100*VLOOKUP(D87,'Food Data'!$A$6:$H$24,8,FALSE)</x:f>
        <x:v>1.7</x:v>
      </x:c>
    </x:row>
    <x:row r="88" ht="31" customHeight="1">
      <x:c r="A88" s="38" t="str">
        <x:v>Saturday</x:v>
      </x:c>
      <x:c r="B88" s="38" t="str">
        <x:v>Meal 1</x:v>
      </x:c>
      <x:c r="C88" s="43" t="str">
        <x:v>Chicken thigh rice bowl</x:v>
      </x:c>
      <x:c r="D88" s="43" t="str">
        <x:v>Spring onions</x:v>
      </x:c>
      <x:c r="E88" s="44" t="n">
        <x:v>20</x:v>
      </x:c>
      <x:c r="F88" s="44" t="str">
        <x:v>Raw</x:v>
      </x:c>
      <x:c r="G88" s="44" t="n">
        <x:f>E88/100*VLOOKUP(D88,'Food Data'!$A$6:$H$24,4,FALSE)</x:f>
        <x:v>5.4</x:v>
      </x:c>
      <x:c r="H88" s="44" t="n">
        <x:f>E88/100*VLOOKUP(D88,'Food Data'!$A$6:$H$24,5,FALSE)</x:f>
        <x:v>0.36000000000000004</x:v>
      </x:c>
      <x:c r="I88" s="44" t="n">
        <x:f>E88/100*VLOOKUP(D88,'Food Data'!$A$6:$H$24,6,FALSE)</x:f>
        <x:v>0.86</x:v>
      </x:c>
      <x:c r="J88" s="44" t="n">
        <x:f>E88/100*VLOOKUP(D88,'Food Data'!$A$6:$H$24,7,FALSE)</x:f>
        <x:v>0.04000000000000001</x:v>
      </x:c>
      <x:c r="K88" s="44" t="n">
        <x:f>E88/100*VLOOKUP(D88,'Food Data'!$A$6:$H$24,8,FALSE)</x:f>
        <x:v>0.52</x:v>
      </x:c>
    </x:row>
    <x:row r="89" ht="31" customHeight="1">
      <x:c r="A89" s="38" t="str">
        <x:v>Saturday</x:v>
      </x:c>
      <x:c r="B89" s="38" t="str">
        <x:v>Meal 2</x:v>
      </x:c>
      <x:c r="C89" s="43" t="str">
        <x:v>Chicken thigh tomato pasta</x:v>
      </x:c>
      <x:c r="D89" s="43" t="str">
        <x:v>Chicken thigh fillets</x:v>
      </x:c>
      <x:c r="E89" s="44" t="n">
        <x:v>238</x:v>
      </x:c>
      <x:c r="F89" s="44" t="str">
        <x:v>Cooked</x:v>
      </x:c>
      <x:c r="G89" s="44" t="n">
        <x:f>E89/100*VLOOKUP(D89,'Food Data'!$A$6:$H$24,4,FALSE)</x:f>
        <x:v>399.84</x:v>
      </x:c>
      <x:c r="H89" s="44" t="n">
        <x:f>E89/100*VLOOKUP(D89,'Food Data'!$A$6:$H$24,5,FALSE)</x:f>
        <x:v>59.024</x:v>
      </x:c>
      <x:c r="I89" s="44" t="n">
        <x:f>E89/100*VLOOKUP(D89,'Food Data'!$A$6:$H$24,6,FALSE)</x:f>
        <x:v>0</x:v>
      </x:c>
      <x:c r="J89" s="44" t="n">
        <x:f>E89/100*VLOOKUP(D89,'Food Data'!$A$6:$H$24,7,FALSE)</x:f>
        <x:v>18.087999999999997</x:v>
      </x:c>
      <x:c r="K89" s="44" t="n">
        <x:f>E89/100*VLOOKUP(D89,'Food Data'!$A$6:$H$24,8,FALSE)</x:f>
        <x:v>0</x:v>
      </x:c>
    </x:row>
    <x:row r="90" ht="31" customHeight="1">
      <x:c r="A90" s="38" t="str">
        <x:v>Saturday</x:v>
      </x:c>
      <x:c r="B90" s="38" t="str">
        <x:v>Meal 2</x:v>
      </x:c>
      <x:c r="C90" s="43" t="str">
        <x:v>Chicken thigh tomato pasta</x:v>
      </x:c>
      <x:c r="D90" s="43" t="str">
        <x:v>Fusilli pasta</x:v>
      </x:c>
      <x:c r="E90" s="44" t="n">
        <x:v>70</x:v>
      </x:c>
      <x:c r="F90" s="44" t="str">
        <x:v>Dry</x:v>
      </x:c>
      <x:c r="G90" s="44" t="n">
        <x:f>E90/100*VLOOKUP(D90,'Food Data'!$A$6:$H$24,4,FALSE)</x:f>
        <x:v>255.07999999999996</x:v>
      </x:c>
      <x:c r="H90" s="44" t="n">
        <x:f>E90/100*VLOOKUP(D90,'Food Data'!$A$6:$H$24,5,FALSE)</x:f>
        <x:v>8.54</x:v>
      </x:c>
      <x:c r="I90" s="44" t="n">
        <x:f>E90/100*VLOOKUP(D90,'Food Data'!$A$6:$H$24,6,FALSE)</x:f>
        <x:v>51.66</x:v>
      </x:c>
      <x:c r="J90" s="44" t="n">
        <x:f>E90/100*VLOOKUP(D90,'Food Data'!$A$6:$H$24,7,FALSE)</x:f>
        <x:v>1.1199999999999999</x:v>
      </x:c>
      <x:c r="K90" s="44" t="n">
        <x:f>E90/100*VLOOKUP(D90,'Food Data'!$A$6:$H$24,8,FALSE)</x:f>
        <x:v>2.3099999999999996</x:v>
      </x:c>
    </x:row>
    <x:row r="91" ht="31" customHeight="1">
      <x:c r="A91" s="38" t="str">
        <x:v>Saturday</x:v>
      </x:c>
      <x:c r="B91" s="38" t="str">
        <x:v>Meal 2</x:v>
      </x:c>
      <x:c r="C91" s="43" t="str">
        <x:v>Chicken thigh tomato pasta</x:v>
      </x:c>
      <x:c r="D91" s="43" t="str">
        <x:v>Chunky vegetable pasta sauce</x:v>
      </x:c>
      <x:c r="E91" s="44" t="n">
        <x:v>125</x:v>
      </x:c>
      <x:c r="F91" s="44" t="str">
        <x:v>As sold</x:v>
      </x:c>
      <x:c r="G91" s="44" t="n">
        <x:f>E91/100*VLOOKUP(D91,'Food Data'!$A$6:$H$24,4,FALSE)</x:f>
        <x:v>52.5</x:v>
      </x:c>
      <x:c r="H91" s="44" t="n">
        <x:f>E91/100*VLOOKUP(D91,'Food Data'!$A$6:$H$24,5,FALSE)</x:f>
        <x:v>1.5</x:v>
      </x:c>
      <x:c r="I91" s="44" t="n">
        <x:f>E91/100*VLOOKUP(D91,'Food Data'!$A$6:$H$24,6,FALSE)</x:f>
        <x:v>9.5</x:v>
      </x:c>
      <x:c r="J91" s="44" t="n">
        <x:f>E91/100*VLOOKUP(D91,'Food Data'!$A$6:$H$24,7,FALSE)</x:f>
        <x:v>0.75</x:v>
      </x:c>
      <x:c r="K91" s="44" t="n">
        <x:f>E91/100*VLOOKUP(D91,'Food Data'!$A$6:$H$24,8,FALSE)</x:f>
        <x:v>0.75</x:v>
      </x:c>
    </x:row>
    <x:row r="92" ht="31" customHeight="1">
      <x:c r="A92" s="38" t="str">
        <x:v>Saturday</x:v>
      </x:c>
      <x:c r="B92" s="38" t="str">
        <x:v>Meal 2</x:v>
      </x:c>
      <x:c r="C92" s="43" t="str">
        <x:v>Chicken thigh tomato pasta</x:v>
      </x:c>
      <x:c r="D92" s="43" t="str">
        <x:v>Olive oil</x:v>
      </x:c>
      <x:c r="E92" s="44" t="n">
        <x:v>5</x:v>
      </x:c>
      <x:c r="F92" s="44" t="str">
        <x:v>As sold</x:v>
      </x:c>
      <x:c r="G92" s="44" t="n">
        <x:f>E92/100*VLOOKUP(D92,'Food Data'!$A$6:$H$24,4,FALSE)</x:f>
        <x:v>45</x:v>
      </x:c>
      <x:c r="H92" s="44" t="n">
        <x:f>E92/100*VLOOKUP(D92,'Food Data'!$A$6:$H$24,5,FALSE)</x:f>
        <x:v>0</x:v>
      </x:c>
      <x:c r="I92" s="44" t="n">
        <x:f>E92/100*VLOOKUP(D92,'Food Data'!$A$6:$H$24,6,FALSE)</x:f>
        <x:v>0</x:v>
      </x:c>
      <x:c r="J92" s="44" t="n">
        <x:f>E92/100*VLOOKUP(D92,'Food Data'!$A$6:$H$24,7,FALSE)</x:f>
        <x:v>5</x:v>
      </x:c>
      <x:c r="K92" s="44" t="n">
        <x:f>E92/100*VLOOKUP(D92,'Food Data'!$A$6:$H$24,8,FALSE)</x:f>
        <x:v>0</x:v>
      </x:c>
    </x:row>
    <x:row r="93" ht="31" customHeight="1">
      <x:c r="A93" s="38" t="str">
        <x:v>Saturday</x:v>
      </x:c>
      <x:c r="B93" s="38" t="str">
        <x:v>Meal 2</x:v>
      </x:c>
      <x:c r="C93" s="43" t="str">
        <x:v>Chicken thigh tomato pasta</x:v>
      </x:c>
      <x:c r="D93" s="43" t="str">
        <x:v>Broccoli</x:v>
      </x:c>
      <x:c r="E93" s="44" t="n">
        <x:v>200</x:v>
      </x:c>
      <x:c r="F93" s="44" t="str">
        <x:v>Raw/frozen</x:v>
      </x:c>
      <x:c r="G93" s="44" t="n">
        <x:f>E93/100*VLOOKUP(D93,'Food Data'!$A$6:$H$24,4,FALSE)</x:f>
        <x:v>68</x:v>
      </x:c>
      <x:c r="H93" s="44" t="n">
        <x:f>E93/100*VLOOKUP(D93,'Food Data'!$A$6:$H$24,5,FALSE)</x:f>
        <x:v>5.6</x:v>
      </x:c>
      <x:c r="I93" s="44" t="n">
        <x:f>E93/100*VLOOKUP(D93,'Food Data'!$A$6:$H$24,6,FALSE)</x:f>
        <x:v>5.4</x:v>
      </x:c>
      <x:c r="J93" s="44" t="n">
        <x:f>E93/100*VLOOKUP(D93,'Food Data'!$A$6:$H$24,7,FALSE)</x:f>
        <x:v>0.8</x:v>
      </x:c>
      <x:c r="K93" s="44" t="n">
        <x:f>E93/100*VLOOKUP(D93,'Food Data'!$A$6:$H$24,8,FALSE)</x:f>
        <x:v>6</x:v>
      </x:c>
    </x:row>
    <x:row r="94" ht="31" customHeight="1">
      <x:c r="A94" s="38" t="str">
        <x:v>Saturday</x:v>
      </x:c>
      <x:c r="B94" s="38" t="str">
        <x:v>Meal 2</x:v>
      </x:c>
      <x:c r="C94" s="43" t="str">
        <x:v>Chicken thigh tomato pasta</x:v>
      </x:c>
      <x:c r="D94" s="43" t="str">
        <x:v>Garden peas</x:v>
      </x:c>
      <x:c r="E94" s="44" t="n">
        <x:v>100</x:v>
      </x:c>
      <x:c r="F94" s="44" t="str">
        <x:v>Frozen</x:v>
      </x:c>
      <x:c r="G94" s="44" t="n">
        <x:f>E94/100*VLOOKUP(D94,'Food Data'!$A$6:$H$24,4,FALSE)</x:f>
        <x:v>85</x:v>
      </x:c>
      <x:c r="H94" s="44" t="n">
        <x:f>E94/100*VLOOKUP(D94,'Food Data'!$A$6:$H$24,5,FALSE)</x:f>
        <x:v>5.7</x:v>
      </x:c>
      <x:c r="I94" s="44" t="n">
        <x:f>E94/100*VLOOKUP(D94,'Food Data'!$A$6:$H$24,6,FALSE)</x:f>
        <x:v>10.8</x:v>
      </x:c>
      <x:c r="J94" s="44" t="n">
        <x:f>E94/100*VLOOKUP(D94,'Food Data'!$A$6:$H$24,7,FALSE)</x:f>
        <x:v>0.9</x:v>
      </x:c>
      <x:c r="K94" s="44" t="n">
        <x:f>E94/100*VLOOKUP(D94,'Food Data'!$A$6:$H$24,8,FALSE)</x:f>
        <x:v>5.7</x:v>
      </x:c>
    </x:row>
    <x:row r="95" ht="31" customHeight="1">
      <x:c r="A95" s="38" t="str">
        <x:v>Saturday</x:v>
      </x:c>
      <x:c r="B95" s="38" t="str">
        <x:v>Meal 2</x:v>
      </x:c>
      <x:c r="C95" s="43" t="str">
        <x:v>Chicken thigh tomato pasta</x:v>
      </x:c>
      <x:c r="D95" s="43" t="str">
        <x:v>Mixed peppers</x:v>
      </x:c>
      <x:c r="E95" s="44" t="n">
        <x:v>100</x:v>
      </x:c>
      <x:c r="F95" s="44" t="str">
        <x:v>Raw</x:v>
      </x:c>
      <x:c r="G95" s="44" t="n">
        <x:f>E95/100*VLOOKUP(D95,'Food Data'!$A$6:$H$24,4,FALSE)</x:f>
        <x:v>26</x:v>
      </x:c>
      <x:c r="H95" s="44" t="n">
        <x:f>E95/100*VLOOKUP(D95,'Food Data'!$A$6:$H$24,5,FALSE)</x:f>
        <x:v>1</x:v>
      </x:c>
      <x:c r="I95" s="44" t="n">
        <x:f>E95/100*VLOOKUP(D95,'Food Data'!$A$6:$H$24,6,FALSE)</x:f>
        <x:v>4.4</x:v>
      </x:c>
      <x:c r="J95" s="44" t="n">
        <x:f>E95/100*VLOOKUP(D95,'Food Data'!$A$6:$H$24,7,FALSE)</x:f>
        <x:v>0.3</x:v>
      </x:c>
      <x:c r="K95" s="44" t="n">
        <x:f>E95/100*VLOOKUP(D95,'Food Data'!$A$6:$H$24,8,FALSE)</x:f>
        <x:v>1.7</x:v>
      </x:c>
    </x:row>
    <x:row r="96" ht="31" customHeight="1">
      <x:c r="A96" s="38" t="str">
        <x:v>Saturday</x:v>
      </x:c>
      <x:c r="B96" s="38" t="str">
        <x:v>Meal 2</x:v>
      </x:c>
      <x:c r="C96" s="43" t="str">
        <x:v>Chicken thigh tomato pasta</x:v>
      </x:c>
      <x:c r="D96" s="43" t="str">
        <x:v>Spring onions</x:v>
      </x:c>
      <x:c r="E96" s="44" t="n">
        <x:v>20</x:v>
      </x:c>
      <x:c r="F96" s="44" t="str">
        <x:v>Raw</x:v>
      </x:c>
      <x:c r="G96" s="44" t="n">
        <x:f>E96/100*VLOOKUP(D96,'Food Data'!$A$6:$H$24,4,FALSE)</x:f>
        <x:v>5.4</x:v>
      </x:c>
      <x:c r="H96" s="44" t="n">
        <x:f>E96/100*VLOOKUP(D96,'Food Data'!$A$6:$H$24,5,FALSE)</x:f>
        <x:v>0.36000000000000004</x:v>
      </x:c>
      <x:c r="I96" s="44" t="n">
        <x:f>E96/100*VLOOKUP(D96,'Food Data'!$A$6:$H$24,6,FALSE)</x:f>
        <x:v>0.86</x:v>
      </x:c>
      <x:c r="J96" s="44" t="n">
        <x:f>E96/100*VLOOKUP(D96,'Food Data'!$A$6:$H$24,7,FALSE)</x:f>
        <x:v>0.04000000000000001</x:v>
      </x:c>
      <x:c r="K96" s="44" t="n">
        <x:f>E96/100*VLOOKUP(D96,'Food Data'!$A$6:$H$24,8,FALSE)</x:f>
        <x:v>0.52</x:v>
      </x:c>
    </x:row>
    <x:row r="97" ht="31" customHeight="1">
      <x:c r="A97" s="38" t="str">
        <x:v>Sunday</x:v>
      </x:c>
      <x:c r="B97" s="38" t="str">
        <x:v>Meal 1</x:v>
      </x:c>
      <x:c r="C97" s="43" t="str">
        <x:v>Sirloin steak &amp; chips</x:v>
      </x:c>
      <x:c r="D97" s="43" t="str">
        <x:v>Sirloin steak</x:v>
      </x:c>
      <x:c r="E97" s="44" t="n">
        <x:v>200</x:v>
      </x:c>
      <x:c r="F97" s="44" t="str">
        <x:v>Cooked</x:v>
      </x:c>
      <x:c r="G97" s="44" t="n">
        <x:f>E97/100*VLOOKUP(D97,'Food Data'!$A$6:$H$24,4,FALSE)</x:f>
        <x:v>378</x:v>
      </x:c>
      <x:c r="H97" s="44" t="n">
        <x:f>E97/100*VLOOKUP(D97,'Food Data'!$A$6:$H$24,5,FALSE)</x:f>
        <x:v>55.4</x:v>
      </x:c>
      <x:c r="I97" s="44" t="n">
        <x:f>E97/100*VLOOKUP(D97,'Food Data'!$A$6:$H$24,6,FALSE)</x:f>
        <x:v>0</x:v>
      </x:c>
      <x:c r="J97" s="44" t="n">
        <x:f>E97/100*VLOOKUP(D97,'Food Data'!$A$6:$H$24,7,FALSE)</x:f>
        <x:v>17.4</x:v>
      </x:c>
      <x:c r="K97" s="44" t="n">
        <x:f>E97/100*VLOOKUP(D97,'Food Data'!$A$6:$H$24,8,FALSE)</x:f>
        <x:v>0</x:v>
      </x:c>
    </x:row>
    <x:row r="98" ht="31" customHeight="1">
      <x:c r="A98" s="38" t="str">
        <x:v>Sunday</x:v>
      </x:c>
      <x:c r="B98" s="38" t="str">
        <x:v>Meal 1</x:v>
      </x:c>
      <x:c r="C98" s="43" t="str">
        <x:v>Sirloin steak &amp; chips</x:v>
      </x:c>
      <x:c r="D98" s="43" t="str">
        <x:v>Gastro oven chips</x:v>
      </x:c>
      <x:c r="E98" s="44" t="n">
        <x:v>235</x:v>
      </x:c>
      <x:c r="F98" s="44" t="str">
        <x:v>Frozen</x:v>
      </x:c>
      <x:c r="G98" s="44" t="n">
        <x:f>E98/100*VLOOKUP(D98,'Food Data'!$A$6:$H$24,4,FALSE)</x:f>
        <x:v>437.1</x:v>
      </x:c>
      <x:c r="H98" s="44" t="n">
        <x:f>E98/100*VLOOKUP(D98,'Food Data'!$A$6:$H$24,5,FALSE)</x:f>
        <x:v>5.170000000000001</x:v>
      </x:c>
      <x:c r="I98" s="44" t="n">
        <x:f>E98/100*VLOOKUP(D98,'Food Data'!$A$6:$H$24,6,FALSE)</x:f>
        <x:v>44.65</x:v>
      </x:c>
      <x:c r="J98" s="44" t="n">
        <x:f>E98/100*VLOOKUP(D98,'Food Data'!$A$6:$H$24,7,FALSE)</x:f>
        <x:v>25.85</x:v>
      </x:c>
      <x:c r="K98" s="44" t="n">
        <x:f>E98/100*VLOOKUP(D98,'Food Data'!$A$6:$H$24,8,FALSE)</x:f>
        <x:v>5.170000000000001</x:v>
      </x:c>
    </x:row>
    <x:row r="99" ht="31" customHeight="1">
      <x:c r="A99" s="38" t="str">
        <x:v>Sunday</x:v>
      </x:c>
      <x:c r="B99" s="38" t="str">
        <x:v>Meal 1</x:v>
      </x:c>
      <x:c r="C99" s="43" t="str">
        <x:v>Sirloin steak &amp; chips</x:v>
      </x:c>
      <x:c r="D99" s="43" t="str">
        <x:v>Broccoli</x:v>
      </x:c>
      <x:c r="E99" s="44" t="n">
        <x:v>200</x:v>
      </x:c>
      <x:c r="F99" s="44" t="str">
        <x:v>Raw/frozen</x:v>
      </x:c>
      <x:c r="G99" s="44" t="n">
        <x:f>E99/100*VLOOKUP(D99,'Food Data'!$A$6:$H$24,4,FALSE)</x:f>
        <x:v>68</x:v>
      </x:c>
      <x:c r="H99" s="44" t="n">
        <x:f>E99/100*VLOOKUP(D99,'Food Data'!$A$6:$H$24,5,FALSE)</x:f>
        <x:v>5.6</x:v>
      </x:c>
      <x:c r="I99" s="44" t="n">
        <x:f>E99/100*VLOOKUP(D99,'Food Data'!$A$6:$H$24,6,FALSE)</x:f>
        <x:v>5.4</x:v>
      </x:c>
      <x:c r="J99" s="44" t="n">
        <x:f>E99/100*VLOOKUP(D99,'Food Data'!$A$6:$H$24,7,FALSE)</x:f>
        <x:v>0.8</x:v>
      </x:c>
      <x:c r="K99" s="44" t="n">
        <x:f>E99/100*VLOOKUP(D99,'Food Data'!$A$6:$H$24,8,FALSE)</x:f>
        <x:v>6</x:v>
      </x:c>
    </x:row>
    <x:row r="100" ht="31" customHeight="1">
      <x:c r="A100" s="38" t="str">
        <x:v>Sunday</x:v>
      </x:c>
      <x:c r="B100" s="38" t="str">
        <x:v>Meal 1</x:v>
      </x:c>
      <x:c r="C100" s="43" t="str">
        <x:v>Sirloin steak &amp; chips</x:v>
      </x:c>
      <x:c r="D100" s="43" t="str">
        <x:v>Garden peas</x:v>
      </x:c>
      <x:c r="E100" s="44" t="n">
        <x:v>100</x:v>
      </x:c>
      <x:c r="F100" s="44" t="str">
        <x:v>Frozen</x:v>
      </x:c>
      <x:c r="G100" s="44" t="n">
        <x:f>E100/100*VLOOKUP(D100,'Food Data'!$A$6:$H$24,4,FALSE)</x:f>
        <x:v>85</x:v>
      </x:c>
      <x:c r="H100" s="44" t="n">
        <x:f>E100/100*VLOOKUP(D100,'Food Data'!$A$6:$H$24,5,FALSE)</x:f>
        <x:v>5.7</x:v>
      </x:c>
      <x:c r="I100" s="44" t="n">
        <x:f>E100/100*VLOOKUP(D100,'Food Data'!$A$6:$H$24,6,FALSE)</x:f>
        <x:v>10.8</x:v>
      </x:c>
      <x:c r="J100" s="44" t="n">
        <x:f>E100/100*VLOOKUP(D100,'Food Data'!$A$6:$H$24,7,FALSE)</x:f>
        <x:v>0.9</x:v>
      </x:c>
      <x:c r="K100" s="44" t="n">
        <x:f>E100/100*VLOOKUP(D100,'Food Data'!$A$6:$H$24,8,FALSE)</x:f>
        <x:v>5.7</x:v>
      </x:c>
    </x:row>
    <x:row r="101" ht="31" customHeight="1">
      <x:c r="A101" s="38" t="str">
        <x:v>Sunday</x:v>
      </x:c>
      <x:c r="B101" s="38" t="str">
        <x:v>Meal 1</x:v>
      </x:c>
      <x:c r="C101" s="43" t="str">
        <x:v>Sirloin steak &amp; chips</x:v>
      </x:c>
      <x:c r="D101" s="43" t="str">
        <x:v>Mixed peppers</x:v>
      </x:c>
      <x:c r="E101" s="44" t="n">
        <x:v>100</x:v>
      </x:c>
      <x:c r="F101" s="44" t="str">
        <x:v>Raw</x:v>
      </x:c>
      <x:c r="G101" s="44" t="n">
        <x:f>E101/100*VLOOKUP(D101,'Food Data'!$A$6:$H$24,4,FALSE)</x:f>
        <x:v>26</x:v>
      </x:c>
      <x:c r="H101" s="44" t="n">
        <x:f>E101/100*VLOOKUP(D101,'Food Data'!$A$6:$H$24,5,FALSE)</x:f>
        <x:v>1</x:v>
      </x:c>
      <x:c r="I101" s="44" t="n">
        <x:f>E101/100*VLOOKUP(D101,'Food Data'!$A$6:$H$24,6,FALSE)</x:f>
        <x:v>4.4</x:v>
      </x:c>
      <x:c r="J101" s="44" t="n">
        <x:f>E101/100*VLOOKUP(D101,'Food Data'!$A$6:$H$24,7,FALSE)</x:f>
        <x:v>0.3</x:v>
      </x:c>
      <x:c r="K101" s="44" t="n">
        <x:f>E101/100*VLOOKUP(D101,'Food Data'!$A$6:$H$24,8,FALSE)</x:f>
        <x:v>1.7</x:v>
      </x:c>
    </x:row>
    <x:row r="102" ht="31" customHeight="1">
      <x:c r="A102" s="38" t="str">
        <x:v>Sunday</x:v>
      </x:c>
      <x:c r="B102" s="38" t="str">
        <x:v>Meal 1</x:v>
      </x:c>
      <x:c r="C102" s="43" t="str">
        <x:v>Sirloin steak &amp; chips</x:v>
      </x:c>
      <x:c r="D102" s="43" t="str">
        <x:v>Spring onions</x:v>
      </x:c>
      <x:c r="E102" s="44" t="n">
        <x:v>20</x:v>
      </x:c>
      <x:c r="F102" s="44" t="str">
        <x:v>Raw</x:v>
      </x:c>
      <x:c r="G102" s="44" t="n">
        <x:f>E102/100*VLOOKUP(D102,'Food Data'!$A$6:$H$24,4,FALSE)</x:f>
        <x:v>5.4</x:v>
      </x:c>
      <x:c r="H102" s="44" t="n">
        <x:f>E102/100*VLOOKUP(D102,'Food Data'!$A$6:$H$24,5,FALSE)</x:f>
        <x:v>0.36000000000000004</x:v>
      </x:c>
      <x:c r="I102" s="44" t="n">
        <x:f>E102/100*VLOOKUP(D102,'Food Data'!$A$6:$H$24,6,FALSE)</x:f>
        <x:v>0.86</x:v>
      </x:c>
      <x:c r="J102" s="44" t="n">
        <x:f>E102/100*VLOOKUP(D102,'Food Data'!$A$6:$H$24,7,FALSE)</x:f>
        <x:v>0.04000000000000001</x:v>
      </x:c>
      <x:c r="K102" s="44" t="n">
        <x:f>E102/100*VLOOKUP(D102,'Food Data'!$A$6:$H$24,8,FALSE)</x:f>
        <x:v>0.52</x:v>
      </x:c>
    </x:row>
    <x:row r="103" ht="31" customHeight="1">
      <x:c r="A103" s="38" t="str">
        <x:v>Sunday</x:v>
      </x:c>
      <x:c r="B103" s="38" t="str">
        <x:v>Meal 2</x:v>
      </x:c>
      <x:c r="C103" s="43" t="str">
        <x:v>5% mince rice bowl</x:v>
      </x:c>
      <x:c r="D103" s="43" t="str">
        <x:v>5% beef mince</x:v>
      </x:c>
      <x:c r="E103" s="44" t="n">
        <x:v>219</x:v>
      </x:c>
      <x:c r="F103" s="44" t="str">
        <x:v>Cooked</x:v>
      </x:c>
      <x:c r="G103" s="44" t="n">
        <x:f>E103/100*VLOOKUP(D103,'Food Data'!$A$6:$H$24,4,FALSE)</x:f>
        <x:v>367.92</x:v>
      </x:c>
      <x:c r="H103" s="44" t="n">
        <x:f>E103/100*VLOOKUP(D103,'Food Data'!$A$6:$H$24,5,FALSE)</x:f>
        <x:v>68.547</x:v>
      </x:c>
      <x:c r="I103" s="44" t="n">
        <x:f>E103/100*VLOOKUP(D103,'Food Data'!$A$6:$H$24,6,FALSE)</x:f>
        <x:v>0</x:v>
      </x:c>
      <x:c r="J103" s="44" t="n">
        <x:f>E103/100*VLOOKUP(D103,'Food Data'!$A$6:$H$24,7,FALSE)</x:f>
        <x:v>10.293</x:v>
      </x:c>
      <x:c r="K103" s="44" t="n">
        <x:f>E103/100*VLOOKUP(D103,'Food Data'!$A$6:$H$24,8,FALSE)</x:f>
        <x:v>0</x:v>
      </x:c>
    </x:row>
    <x:row r="104" ht="31" customHeight="1">
      <x:c r="A104" s="38" t="str">
        <x:v>Sunday</x:v>
      </x:c>
      <x:c r="B104" s="38" t="str">
        <x:v>Meal 2</x:v>
      </x:c>
      <x:c r="C104" s="43" t="str">
        <x:v>5% mince rice bowl</x:v>
      </x:c>
      <x:c r="D104" s="43" t="str">
        <x:v>White basmati rice</x:v>
      </x:c>
      <x:c r="E104" s="44" t="n">
        <x:v>73</x:v>
      </x:c>
      <x:c r="F104" s="44" t="str">
        <x:v>Dry</x:v>
      </x:c>
      <x:c r="G104" s="44" t="n">
        <x:f>E104/100*VLOOKUP(D104,'Food Data'!$A$6:$H$24,4,FALSE)</x:f>
        <x:v>256.23</x:v>
      </x:c>
      <x:c r="H104" s="44" t="n">
        <x:f>E104/100*VLOOKUP(D104,'Food Data'!$A$6:$H$24,5,FALSE)</x:f>
        <x:v>5.694</x:v>
      </x:c>
      <x:c r="I104" s="44" t="n">
        <x:f>E104/100*VLOOKUP(D104,'Food Data'!$A$6:$H$24,6,FALSE)</x:f>
        <x:v>56.721000000000004</x:v>
      </x:c>
      <x:c r="J104" s="44" t="n">
        <x:f>E104/100*VLOOKUP(D104,'Food Data'!$A$6:$H$24,7,FALSE)</x:f>
        <x:v>0.584</x:v>
      </x:c>
      <x:c r="K104" s="44" t="n">
        <x:f>E104/100*VLOOKUP(D104,'Food Data'!$A$6:$H$24,8,FALSE)</x:f>
        <x:v>0.73</x:v>
      </x:c>
    </x:row>
    <x:row r="105" ht="31" customHeight="1">
      <x:c r="A105" s="38" t="str">
        <x:v>Sunday</x:v>
      </x:c>
      <x:c r="B105" s="38" t="str">
        <x:v>Meal 2</x:v>
      </x:c>
      <x:c r="C105" s="43" t="str">
        <x:v>5% mince rice bowl</x:v>
      </x:c>
      <x:c r="D105" s="43" t="str">
        <x:v>Avocado flesh</x:v>
      </x:c>
      <x:c r="E105" s="44" t="n">
        <x:v>0</x:v>
      </x:c>
      <x:c r="F105" s="44" t="str">
        <x:v>Flesh</x:v>
      </x:c>
      <x:c r="G105" s="44" t="n">
        <x:f>E105/100*VLOOKUP(D105,'Food Data'!$A$6:$H$24,4,FALSE)</x:f>
        <x:v>0</x:v>
      </x:c>
      <x:c r="H105" s="44" t="n">
        <x:f>E105/100*VLOOKUP(D105,'Food Data'!$A$6:$H$24,5,FALSE)</x:f>
        <x:v>0</x:v>
      </x:c>
      <x:c r="I105" s="44" t="n">
        <x:f>E105/100*VLOOKUP(D105,'Food Data'!$A$6:$H$24,6,FALSE)</x:f>
        <x:v>0</x:v>
      </x:c>
      <x:c r="J105" s="44" t="n">
        <x:f>E105/100*VLOOKUP(D105,'Food Data'!$A$6:$H$24,7,FALSE)</x:f>
        <x:v>0</x:v>
      </x:c>
      <x:c r="K105" s="44" t="n">
        <x:f>E105/100*VLOOKUP(D105,'Food Data'!$A$6:$H$24,8,FALSE)</x:f>
        <x:v>0</x:v>
      </x:c>
    </x:row>
    <x:row r="106" ht="31" customHeight="1">
      <x:c r="A106" s="38" t="str">
        <x:v>Sunday</x:v>
      </x:c>
      <x:c r="B106" s="38" t="str">
        <x:v>Meal 2</x:v>
      </x:c>
      <x:c r="C106" s="43" t="str">
        <x:v>5% mince rice bowl</x:v>
      </x:c>
      <x:c r="D106" s="43" t="str">
        <x:v>Olive oil</x:v>
      </x:c>
      <x:c r="E106" s="44" t="n">
        <x:v>0</x:v>
      </x:c>
      <x:c r="F106" s="44" t="str">
        <x:v>As sold</x:v>
      </x:c>
      <x:c r="G106" s="44" t="n">
        <x:f>E106/100*VLOOKUP(D106,'Food Data'!$A$6:$H$24,4,FALSE)</x:f>
        <x:v>0</x:v>
      </x:c>
      <x:c r="H106" s="44" t="n">
        <x:f>E106/100*VLOOKUP(D106,'Food Data'!$A$6:$H$24,5,FALSE)</x:f>
        <x:v>0</x:v>
      </x:c>
      <x:c r="I106" s="44" t="n">
        <x:f>E106/100*VLOOKUP(D106,'Food Data'!$A$6:$H$24,6,FALSE)</x:f>
        <x:v>0</x:v>
      </x:c>
      <x:c r="J106" s="44" t="n">
        <x:f>E106/100*VLOOKUP(D106,'Food Data'!$A$6:$H$24,7,FALSE)</x:f>
        <x:v>0</x:v>
      </x:c>
      <x:c r="K106" s="44" t="n">
        <x:f>E106/100*VLOOKUP(D106,'Food Data'!$A$6:$H$24,8,FALSE)</x:f>
        <x:v>0</x:v>
      </x:c>
    </x:row>
    <x:row r="107" ht="31" customHeight="1">
      <x:c r="A107" s="38" t="str">
        <x:v>Sunday</x:v>
      </x:c>
      <x:c r="B107" s="38" t="str">
        <x:v>Meal 2</x:v>
      </x:c>
      <x:c r="C107" s="43" t="str">
        <x:v>5% mince rice bowl</x:v>
      </x:c>
      <x:c r="D107" s="43" t="str">
        <x:v>Broccoli</x:v>
      </x:c>
      <x:c r="E107" s="44" t="n">
        <x:v>200</x:v>
      </x:c>
      <x:c r="F107" s="44" t="str">
        <x:v>Raw/frozen</x:v>
      </x:c>
      <x:c r="G107" s="44" t="n">
        <x:f>E107/100*VLOOKUP(D107,'Food Data'!$A$6:$H$24,4,FALSE)</x:f>
        <x:v>68</x:v>
      </x:c>
      <x:c r="H107" s="44" t="n">
        <x:f>E107/100*VLOOKUP(D107,'Food Data'!$A$6:$H$24,5,FALSE)</x:f>
        <x:v>5.6</x:v>
      </x:c>
      <x:c r="I107" s="44" t="n">
        <x:f>E107/100*VLOOKUP(D107,'Food Data'!$A$6:$H$24,6,FALSE)</x:f>
        <x:v>5.4</x:v>
      </x:c>
      <x:c r="J107" s="44" t="n">
        <x:f>E107/100*VLOOKUP(D107,'Food Data'!$A$6:$H$24,7,FALSE)</x:f>
        <x:v>0.8</x:v>
      </x:c>
      <x:c r="K107" s="44" t="n">
        <x:f>E107/100*VLOOKUP(D107,'Food Data'!$A$6:$H$24,8,FALSE)</x:f>
        <x:v>6</x:v>
      </x:c>
    </x:row>
    <x:row r="108" ht="31" customHeight="1">
      <x:c r="A108" s="38" t="str">
        <x:v>Sunday</x:v>
      </x:c>
      <x:c r="B108" s="38" t="str">
        <x:v>Meal 2</x:v>
      </x:c>
      <x:c r="C108" s="43" t="str">
        <x:v>5% mince rice bowl</x:v>
      </x:c>
      <x:c r="D108" s="43" t="str">
        <x:v>Garden peas</x:v>
      </x:c>
      <x:c r="E108" s="44" t="n">
        <x:v>100</x:v>
      </x:c>
      <x:c r="F108" s="44" t="str">
        <x:v>Frozen</x:v>
      </x:c>
      <x:c r="G108" s="44" t="n">
        <x:f>E108/100*VLOOKUP(D108,'Food Data'!$A$6:$H$24,4,FALSE)</x:f>
        <x:v>85</x:v>
      </x:c>
      <x:c r="H108" s="44" t="n">
        <x:f>E108/100*VLOOKUP(D108,'Food Data'!$A$6:$H$24,5,FALSE)</x:f>
        <x:v>5.7</x:v>
      </x:c>
      <x:c r="I108" s="44" t="n">
        <x:f>E108/100*VLOOKUP(D108,'Food Data'!$A$6:$H$24,6,FALSE)</x:f>
        <x:v>10.8</x:v>
      </x:c>
      <x:c r="J108" s="44" t="n">
        <x:f>E108/100*VLOOKUP(D108,'Food Data'!$A$6:$H$24,7,FALSE)</x:f>
        <x:v>0.9</x:v>
      </x:c>
      <x:c r="K108" s="44" t="n">
        <x:f>E108/100*VLOOKUP(D108,'Food Data'!$A$6:$H$24,8,FALSE)</x:f>
        <x:v>5.7</x:v>
      </x:c>
    </x:row>
    <x:row r="109" ht="31" customHeight="1">
      <x:c r="A109" s="38" t="str">
        <x:v>Sunday</x:v>
      </x:c>
      <x:c r="B109" s="38" t="str">
        <x:v>Meal 2</x:v>
      </x:c>
      <x:c r="C109" s="43" t="str">
        <x:v>5% mince rice bowl</x:v>
      </x:c>
      <x:c r="D109" s="43" t="str">
        <x:v>Mixed peppers</x:v>
      </x:c>
      <x:c r="E109" s="44" t="n">
        <x:v>100</x:v>
      </x:c>
      <x:c r="F109" s="44" t="str">
        <x:v>Raw</x:v>
      </x:c>
      <x:c r="G109" s="44" t="n">
        <x:f>E109/100*VLOOKUP(D109,'Food Data'!$A$6:$H$24,4,FALSE)</x:f>
        <x:v>26</x:v>
      </x:c>
      <x:c r="H109" s="44" t="n">
        <x:f>E109/100*VLOOKUP(D109,'Food Data'!$A$6:$H$24,5,FALSE)</x:f>
        <x:v>1</x:v>
      </x:c>
      <x:c r="I109" s="44" t="n">
        <x:f>E109/100*VLOOKUP(D109,'Food Data'!$A$6:$H$24,6,FALSE)</x:f>
        <x:v>4.4</x:v>
      </x:c>
      <x:c r="J109" s="44" t="n">
        <x:f>E109/100*VLOOKUP(D109,'Food Data'!$A$6:$H$24,7,FALSE)</x:f>
        <x:v>0.3</x:v>
      </x:c>
      <x:c r="K109" s="44" t="n">
        <x:f>E109/100*VLOOKUP(D109,'Food Data'!$A$6:$H$24,8,FALSE)</x:f>
        <x:v>1.7</x:v>
      </x:c>
    </x:row>
    <x:row r="110" ht="31" customHeight="1">
      <x:c r="A110" s="38" t="str">
        <x:v>Sunday</x:v>
      </x:c>
      <x:c r="B110" s="38" t="str">
        <x:v>Meal 2</x:v>
      </x:c>
      <x:c r="C110" s="43" t="str">
        <x:v>5% mince rice bowl</x:v>
      </x:c>
      <x:c r="D110" s="43" t="str">
        <x:v>Spring onions</x:v>
      </x:c>
      <x:c r="E110" s="44" t="n">
        <x:v>20</x:v>
      </x:c>
      <x:c r="F110" s="44" t="str">
        <x:v>Raw</x:v>
      </x:c>
      <x:c r="G110" s="44" t="n">
        <x:f>E110/100*VLOOKUP(D110,'Food Data'!$A$6:$H$24,4,FALSE)</x:f>
        <x:v>5.4</x:v>
      </x:c>
      <x:c r="H110" s="44" t="n">
        <x:f>E110/100*VLOOKUP(D110,'Food Data'!$A$6:$H$24,5,FALSE)</x:f>
        <x:v>0.36000000000000004</x:v>
      </x:c>
      <x:c r="I110" s="44" t="n">
        <x:f>E110/100*VLOOKUP(D110,'Food Data'!$A$6:$H$24,6,FALSE)</x:f>
        <x:v>0.86</x:v>
      </x:c>
      <x:c r="J110" s="44" t="n">
        <x:f>E110/100*VLOOKUP(D110,'Food Data'!$A$6:$H$24,7,FALSE)</x:f>
        <x:v>0.04000000000000001</x:v>
      </x:c>
      <x:c r="K110" s="44" t="n">
        <x:f>E110/100*VLOOKUP(D110,'Food Data'!$A$6:$H$24,8,FALSE)</x:f>
        <x:v>0.52</x:v>
      </x:c>
    </x:row>
  </x:sheetData>
  <x:mergeCells>
    <x:mergeCell ref="A1:K1"/>
    <x:mergeCell ref="A2:K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6" hidden="0" customWidth="1"/>
    <x:col min="4" max="4" width="16" hidden="0" customWidth="1"/>
    <x:col min="5" max="5" width="16" hidden="0" customWidth="1"/>
    <x:col min="6" max="6" width="16" hidden="0" customWidth="1"/>
    <x:col min="7" max="7" width="27" hidden="0" customWidth="1"/>
    <x:col min="8" max="8" width="14" hidden="0" customWidth="1"/>
    <x:col min="9" max="9" width="10" hidden="0" customWidth="1"/>
  </x:cols>
  <x:sheetData>
    <x:row r="1" ht="34" customHeight="1">
      <x:c r="A1" s="54" t="str">
        <x:v>Sainsbury’s weekly shopping list — meal-first version</x:v>
      </x:c>
      <x:c r="B1" s="54"/>
      <x:c r="C1" s="54"/>
      <x:c r="D1" s="54"/>
      <x:c r="E1" s="54"/>
      <x:c r="F1" s="54"/>
      <x:c r="G1" s="54"/>
      <x:c r="H1" s="54"/>
      <x:c r="I1" s="54"/>
    </x:row>
    <x:row r="2">
      <x:c r="A2" s="47" t="str">
        <x:v>Required packs cover the two planned meals. Optional snack packs are separated below and do not feed into daily macro totals.</x:v>
      </x:c>
      <x:c r="B2" s="47"/>
      <x:c r="C2" s="47"/>
      <x:c r="D2" s="47"/>
      <x:c r="E2" s="47"/>
      <x:c r="F2" s="47"/>
      <x:c r="G2" s="47"/>
      <x:c r="H2" s="47"/>
      <x:c r="I2" s="47"/>
    </x:row>
    <x:row r="3">
      <x:c r="A3" s="47"/>
      <x:c r="B3" s="47"/>
      <x:c r="C3" s="47"/>
      <x:c r="D3" s="47"/>
      <x:c r="E3" s="47"/>
      <x:c r="F3" s="47"/>
      <x:c r="G3" s="47"/>
      <x:c r="H3" s="47"/>
      <x:c r="I3" s="47"/>
    </x:row>
    <x:row r="4">
      <x:c r="A4" s="38"/>
      <x:c r="B4" s="38"/>
      <x:c r="C4" s="38"/>
      <x:c r="D4" s="38"/>
      <x:c r="E4" s="38"/>
      <x:c r="F4" s="38"/>
      <x:c r="G4" s="38"/>
      <x:c r="H4" s="38"/>
      <x:c r="I4" s="38"/>
    </x:row>
    <x:row r="5">
      <x:c r="A5" s="42" t="str">
        <x:v>Item</x:v>
      </x:c>
      <x:c r="B5" s="42" t="str">
        <x:v>Category</x:v>
      </x:c>
      <x:c r="C5" s="42" t="str">
        <x:v>Plan total g</x:v>
      </x:c>
      <x:c r="D5" s="42" t="str">
        <x:v>Raw/as-sold needed g</x:v>
      </x:c>
      <x:c r="E5" s="42" t="str">
        <x:v>Pack size g</x:v>
      </x:c>
      <x:c r="F5" s="42" t="str">
        <x:v>Packs to buy</x:v>
      </x:c>
      <x:c r="G5" s="42" t="str">
        <x:v>Buy format</x:v>
      </x:c>
      <x:c r="H5" s="42" t="str">
        <x:v>Surplus g</x:v>
      </x:c>
      <x:c r="I5" s="42" t="str">
        <x:v>Picked</x:v>
      </x:c>
    </x:row>
    <x:row r="6">
      <x:c r="A6" s="38" t="str">
        <x:v>Fusilli pasta</x:v>
      </x:c>
      <x:c r="B6" s="38" t="str">
        <x:v>Carbs</x:v>
      </x:c>
      <x:c r="C6" s="48" t="n">
        <x:f>SUMIF('Daily Plan'!$D$6:$D$110,A6,'Daily Plan'!$E$6:$E$110)</x:f>
        <x:v>330</x:v>
      </x:c>
      <x:c r="D6" s="48" t="n">
        <x:f>C6/VLOOKUP(A6,'Food Data'!$A$6:$K$24,9,FALSE)</x:f>
        <x:v>330</x:v>
      </x:c>
      <x:c r="E6" s="48" t="n">
        <x:f>VLOOKUP(A6,'Food Data'!$A$6:$K$24,10,FALSE)</x:f>
        <x:v>1000</x:v>
      </x:c>
      <x:c r="F6" s="49" t="n">
        <x:f>ROUNDUP(D6/E6,0)</x:f>
        <x:v>1</x:v>
      </x:c>
      <x:c r="G6" s="48" t="str">
        <x:f>VLOOKUP(A6,'Food Data'!$A$6:$K$24,11,FALSE)</x:f>
        <x:v>1kg bag</x:v>
      </x:c>
      <x:c r="H6" s="48" t="n">
        <x:f>F6*E6-D6</x:f>
        <x:v>670</x:v>
      </x:c>
      <x:c r="I6" s="50" t="str">
        <x:v>☐</x:v>
      </x:c>
    </x:row>
    <x:row r="7">
      <x:c r="A7" s="38" t="str">
        <x:v>Gastro oven chips</x:v>
      </x:c>
      <x:c r="B7" s="38" t="str">
        <x:v>Carbs</x:v>
      </x:c>
      <x:c r="C7" s="48" t="n">
        <x:f>SUMIF('Daily Plan'!$D$6:$D$110,A7,'Daily Plan'!$E$6:$E$110)</x:f>
        <x:v>425</x:v>
      </x:c>
      <x:c r="D7" s="48" t="n">
        <x:f>C7/VLOOKUP(A7,'Food Data'!$A$6:$K$24,9,FALSE)</x:f>
        <x:v>425</x:v>
      </x:c>
      <x:c r="E7" s="48" t="n">
        <x:f>VLOOKUP(A7,'Food Data'!$A$6:$K$24,10,FALSE)</x:f>
        <x:v>600</x:v>
      </x:c>
      <x:c r="F7" s="49" t="n">
        <x:f>ROUNDUP(D7/E7,0)</x:f>
        <x:v>1</x:v>
      </x:c>
      <x:c r="G7" s="48" t="str">
        <x:f>VLOOKUP(A7,'Food Data'!$A$6:$K$24,11,FALSE)</x:f>
        <x:v>600g bag</x:v>
      </x:c>
      <x:c r="H7" s="48" t="n">
        <x:f>F7*E7-D7</x:f>
        <x:v>175</x:v>
      </x:c>
      <x:c r="I7" s="50" t="str">
        <x:v>☐</x:v>
      </x:c>
    </x:row>
    <x:row r="8">
      <x:c r="A8" s="38" t="str">
        <x:v>White basmati rice</x:v>
      </x:c>
      <x:c r="B8" s="38" t="str">
        <x:v>Carbs</x:v>
      </x:c>
      <x:c r="C8" s="48" t="n">
        <x:f>SUMIF('Daily Plan'!$D$6:$D$110,A8,'Daily Plan'!$E$6:$E$110)</x:f>
        <x:v>447</x:v>
      </x:c>
      <x:c r="D8" s="48" t="n">
        <x:f>C8/VLOOKUP(A8,'Food Data'!$A$6:$K$24,9,FALSE)</x:f>
        <x:v>447</x:v>
      </x:c>
      <x:c r="E8" s="48" t="n">
        <x:f>VLOOKUP(A8,'Food Data'!$A$6:$K$24,10,FALSE)</x:f>
        <x:v>1000</x:v>
      </x:c>
      <x:c r="F8" s="49" t="n">
        <x:f>ROUNDUP(D8/E8,0)</x:f>
        <x:v>1</x:v>
      </x:c>
      <x:c r="G8" s="48" t="str">
        <x:f>VLOOKUP(A8,'Food Data'!$A$6:$K$24,11,FALSE)</x:f>
        <x:v>1kg bag</x:v>
      </x:c>
      <x:c r="H8" s="48" t="n">
        <x:f>F8*E8-D8</x:f>
        <x:v>553</x:v>
      </x:c>
      <x:c r="I8" s="50" t="str">
        <x:v>☐</x:v>
      </x:c>
    </x:row>
    <x:row r="9">
      <x:c r="A9" s="38" t="str">
        <x:v>Greek feta</x:v>
      </x:c>
      <x:c r="B9" s="38" t="str">
        <x:v>Dairy</x:v>
      </x:c>
      <x:c r="C9" s="48" t="n">
        <x:f>SUMIF('Daily Plan'!$D$6:$D$110,A9,'Daily Plan'!$E$6:$E$110)</x:f>
        <x:v>85</x:v>
      </x:c>
      <x:c r="D9" s="48" t="n">
        <x:f>C9/VLOOKUP(A9,'Food Data'!$A$6:$K$24,9,FALSE)</x:f>
        <x:v>85</x:v>
      </x:c>
      <x:c r="E9" s="48" t="n">
        <x:f>VLOOKUP(A9,'Food Data'!$A$6:$K$24,10,FALSE)</x:f>
        <x:v>200</x:v>
      </x:c>
      <x:c r="F9" s="49" t="n">
        <x:f>ROUNDUP(D9/E9,0)</x:f>
        <x:v>1</x:v>
      </x:c>
      <x:c r="G9" s="48" t="str">
        <x:f>VLOOKUP(A9,'Food Data'!$A$6:$K$24,11,FALSE)</x:f>
        <x:v>200g pack</x:v>
      </x:c>
      <x:c r="H9" s="48" t="n">
        <x:f>F9*E9-D9</x:f>
        <x:v>115</x:v>
      </x:c>
      <x:c r="I9" s="50" t="str">
        <x:v>☐</x:v>
      </x:c>
    </x:row>
    <x:row r="10">
      <x:c r="A10" s="38" t="str">
        <x:v>Avocado flesh</x:v>
      </x:c>
      <x:c r="B10" s="38" t="str">
        <x:v>Fruit &amp; veg</x:v>
      </x:c>
      <x:c r="C10" s="48" t="n">
        <x:f>SUMIF('Daily Plan'!$D$6:$D$110,A10,'Daily Plan'!$E$6:$E$110)</x:f>
        <x:v>305</x:v>
      </x:c>
      <x:c r="D10" s="48" t="n">
        <x:f>C10/VLOOKUP(A10,'Food Data'!$A$6:$K$24,9,FALSE)</x:f>
        <x:v>305</x:v>
      </x:c>
      <x:c r="E10" s="48" t="n">
        <x:f>VLOOKUP(A10,'Food Data'!$A$6:$K$24,10,FALSE)</x:f>
        <x:v>160</x:v>
      </x:c>
      <x:c r="F10" s="49" t="n">
        <x:f>ROUNDUP(D10/E10,0)</x:f>
        <x:v>2</x:v>
      </x:c>
      <x:c r="G10" s="48" t="str">
        <x:f>VLOOKUP(A10,'Food Data'!$A$6:$K$24,11,FALSE)</x:f>
        <x:v>2 avocados / ~160g flesh</x:v>
      </x:c>
      <x:c r="H10" s="48" t="n">
        <x:f>F10*E10-D10</x:f>
        <x:v>15</x:v>
      </x:c>
      <x:c r="I10" s="50" t="str">
        <x:v>☐</x:v>
      </x:c>
    </x:row>
    <x:row r="11">
      <x:c r="A11" s="38" t="str">
        <x:v>Broccoli</x:v>
      </x:c>
      <x:c r="B11" s="38" t="str">
        <x:v>Fruit &amp; veg</x:v>
      </x:c>
      <x:c r="C11" s="48" t="n">
        <x:f>SUMIF('Daily Plan'!$D$6:$D$110,A11,'Daily Plan'!$E$6:$E$110)</x:f>
        <x:v>2800</x:v>
      </x:c>
      <x:c r="D11" s="48" t="n">
        <x:f>C11/VLOOKUP(A11,'Food Data'!$A$6:$K$24,9,FALSE)</x:f>
        <x:v>2800</x:v>
      </x:c>
      <x:c r="E11" s="48" t="n">
        <x:f>VLOOKUP(A11,'Food Data'!$A$6:$K$24,10,FALSE)</x:f>
        <x:v>900</x:v>
      </x:c>
      <x:c r="F11" s="49" t="n">
        <x:f>ROUNDUP(D11/E11,0)</x:f>
        <x:v>4</x:v>
      </x:c>
      <x:c r="G11" s="48" t="str">
        <x:f>VLOOKUP(A11,'Food Data'!$A$6:$K$24,11,FALSE)</x:f>
        <x:v>900g frozen bag</x:v>
      </x:c>
      <x:c r="H11" s="48" t="n">
        <x:f>F11*E11-D11</x:f>
        <x:v>800</x:v>
      </x:c>
      <x:c r="I11" s="50" t="str">
        <x:v>☐</x:v>
      </x:c>
    </x:row>
    <x:row r="12">
      <x:c r="A12" s="38" t="str">
        <x:v>Garden peas</x:v>
      </x:c>
      <x:c r="B12" s="38" t="str">
        <x:v>Fruit &amp; veg</x:v>
      </x:c>
      <x:c r="C12" s="48" t="n">
        <x:f>SUMIF('Daily Plan'!$D$6:$D$110,A12,'Daily Plan'!$E$6:$E$110)</x:f>
        <x:v>1400</x:v>
      </x:c>
      <x:c r="D12" s="48" t="n">
        <x:f>C12/VLOOKUP(A12,'Food Data'!$A$6:$K$24,9,FALSE)</x:f>
        <x:v>1400</x:v>
      </x:c>
      <x:c r="E12" s="48" t="n">
        <x:f>VLOOKUP(A12,'Food Data'!$A$6:$K$24,10,FALSE)</x:f>
        <x:v>910</x:v>
      </x:c>
      <x:c r="F12" s="49" t="n">
        <x:f>ROUNDUP(D12/E12,0)</x:f>
        <x:v>2</x:v>
      </x:c>
      <x:c r="G12" s="48" t="str">
        <x:f>VLOOKUP(A12,'Food Data'!$A$6:$K$24,11,FALSE)</x:f>
        <x:v>910g frozen bag</x:v>
      </x:c>
      <x:c r="H12" s="48" t="n">
        <x:f>F12*E12-D12</x:f>
        <x:v>420</x:v>
      </x:c>
      <x:c r="I12" s="50" t="str">
        <x:v>☐</x:v>
      </x:c>
    </x:row>
    <x:row r="13">
      <x:c r="A13" s="38" t="str">
        <x:v>Mixed peppers</x:v>
      </x:c>
      <x:c r="B13" s="38" t="str">
        <x:v>Fruit &amp; veg</x:v>
      </x:c>
      <x:c r="C13" s="48" t="n">
        <x:f>SUMIF('Daily Plan'!$D$6:$D$110,A13,'Daily Plan'!$E$6:$E$110)</x:f>
        <x:v>1400</x:v>
      </x:c>
      <x:c r="D13" s="48" t="n">
        <x:f>C13/VLOOKUP(A13,'Food Data'!$A$6:$K$24,9,FALSE)</x:f>
        <x:v>1400</x:v>
      </x:c>
      <x:c r="E13" s="48" t="n">
        <x:f>VLOOKUP(A13,'Food Data'!$A$6:$K$24,10,FALSE)</x:f>
        <x:v>450</x:v>
      </x:c>
      <x:c r="F13" s="49" t="n">
        <x:f>ROUNDUP(D13/E13,0)</x:f>
        <x:v>4</x:v>
      </x:c>
      <x:c r="G13" s="48" t="str">
        <x:f>VLOOKUP(A13,'Food Data'!$A$6:$K$24,11,FALSE)</x:f>
        <x:v>3-pack / ~450g</x:v>
      </x:c>
      <x:c r="H13" s="48" t="n">
        <x:f>F13*E13-D13</x:f>
        <x:v>400</x:v>
      </x:c>
      <x:c r="I13" s="50" t="str">
        <x:v>☐</x:v>
      </x:c>
    </x:row>
    <x:row r="14">
      <x:c r="A14" s="38" t="str">
        <x:v>Spring onions</x:v>
      </x:c>
      <x:c r="B14" s="38" t="str">
        <x:v>Fruit &amp; veg</x:v>
      </x:c>
      <x:c r="C14" s="48" t="n">
        <x:f>SUMIF('Daily Plan'!$D$6:$D$110,A14,'Daily Plan'!$E$6:$E$110)</x:f>
        <x:v>280</x:v>
      </x:c>
      <x:c r="D14" s="48" t="n">
        <x:f>C14/VLOOKUP(A14,'Food Data'!$A$6:$K$24,9,FALSE)</x:f>
        <x:v>280</x:v>
      </x:c>
      <x:c r="E14" s="48" t="n">
        <x:f>VLOOKUP(A14,'Food Data'!$A$6:$K$24,10,FALSE)</x:f>
        <x:v>100</x:v>
      </x:c>
      <x:c r="F14" s="49" t="n">
        <x:f>ROUNDUP(D14/E14,0)</x:f>
        <x:v>3</x:v>
      </x:c>
      <x:c r="G14" s="48" t="str">
        <x:f>VLOOKUP(A14,'Food Data'!$A$6:$K$24,11,FALSE)</x:f>
        <x:v>~100g bunch</x:v>
      </x:c>
      <x:c r="H14" s="48" t="n">
        <x:f>F14*E14-D14</x:f>
        <x:v>20</x:v>
      </x:c>
      <x:c r="I14" s="50" t="str">
        <x:v>☐</x:v>
      </x:c>
    </x:row>
    <x:row r="15">
      <x:c r="A15" s="38" t="str">
        <x:v>5% beef mince</x:v>
      </x:c>
      <x:c r="B15" s="38" t="str">
        <x:v>Meat &amp; fish</x:v>
      </x:c>
      <x:c r="C15" s="48" t="n">
        <x:f>SUMIF('Daily Plan'!$D$6:$D$110,A15,'Daily Plan'!$E$6:$E$110)</x:f>
        <x:v>781</x:v>
      </x:c>
      <x:c r="D15" s="48" t="n">
        <x:f>C15/VLOOKUP(A15,'Food Data'!$A$6:$K$24,9,FALSE)</x:f>
        <x:v>1041.3333333333333</x:v>
      </x:c>
      <x:c r="E15" s="48" t="n">
        <x:f>VLOOKUP(A15,'Food Data'!$A$6:$K$24,10,FALSE)</x:f>
        <x:v>500</x:v>
      </x:c>
      <x:c r="F15" s="49" t="n">
        <x:f>ROUNDUP(D15/E15,0)</x:f>
        <x:v>3</x:v>
      </x:c>
      <x:c r="G15" s="48" t="str">
        <x:f>VLOOKUP(A15,'Food Data'!$A$6:$K$24,11,FALSE)</x:f>
        <x:v>500g raw pack</x:v>
      </x:c>
      <x:c r="H15" s="48" t="n">
        <x:f>F15*E15-D15</x:f>
        <x:v>458.66666666666674</x:v>
      </x:c>
      <x:c r="I15" s="50" t="str">
        <x:v>☐</x:v>
      </x:c>
    </x:row>
    <x:row r="16">
      <x:c r="A16" s="38" t="str">
        <x:v>Chicken thigh fillets</x:v>
      </x:c>
      <x:c r="B16" s="38" t="str">
        <x:v>Meat &amp; fish</x:v>
      </x:c>
      <x:c r="C16" s="48" t="n">
        <x:f>SUMIF('Daily Plan'!$D$6:$D$110,A16,'Daily Plan'!$E$6:$E$110)</x:f>
        <x:v>1222</x:v>
      </x:c>
      <x:c r="D16" s="48" t="n">
        <x:f>C16/VLOOKUP(A16,'Food Data'!$A$6:$K$24,9,FALSE)</x:f>
        <x:v>1629.3333333333333</x:v>
      </x:c>
      <x:c r="E16" s="48" t="n">
        <x:f>VLOOKUP(A16,'Food Data'!$A$6:$K$24,10,FALSE)</x:f>
        <x:v>640</x:v>
      </x:c>
      <x:c r="F16" s="49" t="n">
        <x:f>ROUNDUP(D16/E16,0)</x:f>
        <x:v>3</x:v>
      </x:c>
      <x:c r="G16" s="48" t="str">
        <x:f>VLOOKUP(A16,'Food Data'!$A$6:$K$24,11,FALSE)</x:f>
        <x:v>640g raw pack</x:v>
      </x:c>
      <x:c r="H16" s="48" t="n">
        <x:f>F16*E16-D16</x:f>
        <x:v>290.66666666666674</x:v>
      </x:c>
      <x:c r="I16" s="50" t="str">
        <x:v>☐</x:v>
      </x:c>
    </x:row>
    <x:row r="17">
      <x:c r="A17" s="38" t="str">
        <x:v>Sirloin steak</x:v>
      </x:c>
      <x:c r="B17" s="38" t="str">
        <x:v>Meat &amp; fish</x:v>
      </x:c>
      <x:c r="C17" s="48" t="n">
        <x:f>SUMIF('Daily Plan'!$D$6:$D$110,A17,'Daily Plan'!$E$6:$E$110)</x:f>
        <x:v>595</x:v>
      </x:c>
      <x:c r="D17" s="48" t="n">
        <x:f>C17/VLOOKUP(A17,'Food Data'!$A$6:$K$24,9,FALSE)</x:f>
        <x:v>762.8205128205128</x:v>
      </x:c>
      <x:c r="E17" s="48" t="n">
        <x:f>VLOOKUP(A17,'Food Data'!$A$6:$K$24,10,FALSE)</x:f>
        <x:v>225</x:v>
      </x:c>
      <x:c r="F17" s="49" t="n">
        <x:f>ROUNDUP(D17/E17,0)</x:f>
        <x:v>4</x:v>
      </x:c>
      <x:c r="G17" s="48" t="str">
        <x:f>VLOOKUP(A17,'Food Data'!$A$6:$K$24,11,FALSE)</x:f>
        <x:v>225g raw steak</x:v>
      </x:c>
      <x:c r="H17" s="48" t="n">
        <x:f>F17*E17-D17</x:f>
        <x:v>137.17948717948718</x:v>
      </x:c>
      <x:c r="I17" s="50" t="str">
        <x:v>☐</x:v>
      </x:c>
    </x:row>
    <x:row r="18">
      <x:c r="A18" s="38" t="str">
        <x:v>Wild salmon fillets</x:v>
      </x:c>
      <x:c r="B18" s="38" t="str">
        <x:v>Meat &amp; fish</x:v>
      </x:c>
      <x:c r="C18" s="48" t="n">
        <x:f>SUMIF('Daily Plan'!$D$6:$D$110,A18,'Daily Plan'!$E$6:$E$110)</x:f>
        <x:v>472</x:v>
      </x:c>
      <x:c r="D18" s="48" t="n">
        <x:f>C18/VLOOKUP(A18,'Food Data'!$A$6:$K$24,9,FALSE)</x:f>
        <x:v>555.2941176470588</x:v>
      </x:c>
      <x:c r="E18" s="48" t="n">
        <x:f>VLOOKUP(A18,'Food Data'!$A$6:$K$24,10,FALSE)</x:f>
        <x:v>360</x:v>
      </x:c>
      <x:c r="F18" s="49" t="n">
        <x:f>ROUNDUP(D18/E18,0)</x:f>
        <x:v>2</x:v>
      </x:c>
      <x:c r="G18" s="48" t="str">
        <x:f>VLOOKUP(A18,'Food Data'!$A$6:$K$24,11,FALSE)</x:f>
        <x:v>360g raw/frozen pack</x:v>
      </x:c>
      <x:c r="H18" s="48" t="n">
        <x:f>F18*E18-D18</x:f>
        <x:v>164.70588235294122</x:v>
      </x:c>
      <x:c r="I18" s="50" t="str">
        <x:v>☐</x:v>
      </x:c>
    </x:row>
    <x:row r="19">
      <x:c r="A19" s="38" t="str">
        <x:v>Chunky vegetable pasta sauce</x:v>
      </x:c>
      <x:c r="B19" s="38" t="str">
        <x:v>Sauces &amp; pantry</x:v>
      </x:c>
      <x:c r="C19" s="48" t="n">
        <x:f>SUMIF('Daily Plan'!$D$6:$D$110,A19,'Daily Plan'!$E$6:$E$110)</x:f>
        <x:v>500</x:v>
      </x:c>
      <x:c r="D19" s="48" t="n">
        <x:f>C19/VLOOKUP(A19,'Food Data'!$A$6:$K$24,9,FALSE)</x:f>
        <x:v>500</x:v>
      </x:c>
      <x:c r="E19" s="48" t="n">
        <x:f>VLOOKUP(A19,'Food Data'!$A$6:$K$24,10,FALSE)</x:f>
        <x:v>500</x:v>
      </x:c>
      <x:c r="F19" s="49" t="n">
        <x:f>ROUNDUP(D19/E19,0)</x:f>
        <x:v>1</x:v>
      </x:c>
      <x:c r="G19" s="48" t="str">
        <x:f>VLOOKUP(A19,'Food Data'!$A$6:$K$24,11,FALSE)</x:f>
        <x:v>500g jar</x:v>
      </x:c>
      <x:c r="H19" s="48" t="n">
        <x:f>F19*E19-D19</x:f>
        <x:v>0</x:v>
      </x:c>
      <x:c r="I19" s="50" t="str">
        <x:v>☐</x:v>
      </x:c>
    </x:row>
    <x:row r="20">
      <x:c r="A20" s="38" t="str">
        <x:v>Light green pesto</x:v>
      </x:c>
      <x:c r="B20" s="38" t="str">
        <x:v>Sauces &amp; pantry</x:v>
      </x:c>
      <x:c r="C20" s="48" t="n">
        <x:f>SUMIF('Daily Plan'!$D$6:$D$110,A20,'Daily Plan'!$E$6:$E$110)</x:f>
        <x:v>35</x:v>
      </x:c>
      <x:c r="D20" s="48" t="n">
        <x:f>C20/VLOOKUP(A20,'Food Data'!$A$6:$K$24,9,FALSE)</x:f>
        <x:v>35</x:v>
      </x:c>
      <x:c r="E20" s="48" t="n">
        <x:f>VLOOKUP(A20,'Food Data'!$A$6:$K$24,10,FALSE)</x:f>
        <x:v>190</x:v>
      </x:c>
      <x:c r="F20" s="49" t="n">
        <x:f>ROUNDUP(D20/E20,0)</x:f>
        <x:v>1</x:v>
      </x:c>
      <x:c r="G20" s="48" t="str">
        <x:f>VLOOKUP(A20,'Food Data'!$A$6:$K$24,11,FALSE)</x:f>
        <x:v>190g jar</x:v>
      </x:c>
      <x:c r="H20" s="48" t="n">
        <x:f>F20*E20-D20</x:f>
        <x:v>155</x:v>
      </x:c>
      <x:c r="I20" s="50" t="str">
        <x:v>☐</x:v>
      </x:c>
    </x:row>
    <x:row r="21">
      <x:c r="A21" s="38" t="str">
        <x:v>Olive oil</x:v>
      </x:c>
      <x:c r="B21" s="38" t="str">
        <x:v>Sauces &amp; pantry</x:v>
      </x:c>
      <x:c r="C21" s="48" t="n">
        <x:f>SUMIF('Daily Plan'!$D$6:$D$110,A21,'Daily Plan'!$E$6:$E$110)</x:f>
        <x:v>25</x:v>
      </x:c>
      <x:c r="D21" s="48" t="n">
        <x:f>C21/VLOOKUP(A21,'Food Data'!$A$6:$K$24,9,FALSE)</x:f>
        <x:v>25</x:v>
      </x:c>
      <x:c r="E21" s="48" t="n">
        <x:f>VLOOKUP(A21,'Food Data'!$A$6:$K$24,10,FALSE)</x:f>
        <x:v>455</x:v>
      </x:c>
      <x:c r="F21" s="49" t="n">
        <x:f>ROUNDUP(D21/E21,0)</x:f>
        <x:v>1</x:v>
      </x:c>
      <x:c r="G21" s="48" t="str">
        <x:f>VLOOKUP(A21,'Food Data'!$A$6:$K$24,11,FALSE)</x:f>
        <x:v>500ml bottle / ~455g</x:v>
      </x:c>
      <x:c r="H21" s="48" t="n">
        <x:f>F21*E21-D21</x:f>
        <x:v>430</x:v>
      </x:c>
      <x:c r="I21" s="50" t="str">
        <x:v>☐</x:v>
      </x:c>
    </x:row>
    <x:row r="22">
      <x:c r="A22" s="38"/>
      <x:c r="B22" s="38"/>
      <x:c r="C22" s="38"/>
      <x:c r="D22" s="38"/>
      <x:c r="E22" s="38"/>
      <x:c r="F22" s="38"/>
      <x:c r="G22" s="38"/>
      <x:c r="H22" s="38"/>
      <x:c r="I22" s="38"/>
    </x:row>
    <x:row r="23">
      <x:c r="A23" s="39" t="str">
        <x:v>Optional snack backup — not included in planned calories</x:v>
      </x:c>
      <x:c r="B23" s="39"/>
      <x:c r="C23" s="39"/>
      <x:c r="D23" s="39"/>
      <x:c r="E23" s="39"/>
      <x:c r="F23" s="39"/>
      <x:c r="G23" s="39"/>
      <x:c r="H23" s="39"/>
      <x:c r="I23" s="39"/>
    </x:row>
    <x:row r="24">
      <x:c r="A24" s="42" t="str">
        <x:v>Option</x:v>
      </x:c>
      <x:c r="B24" s="42" t="str">
        <x:v>Suggested buy</x:v>
      </x:c>
      <x:c r="C24" s="42" t="str">
        <x:v>Serving</x:v>
      </x:c>
      <x:c r="D24" s="42" t="str">
        <x:v>kcal</x:v>
      </x:c>
      <x:c r="E24" s="42" t="str">
        <x:v>Protein g</x:v>
      </x:c>
      <x:c r="F24" s="42" t="str">
        <x:v>Carbs g</x:v>
      </x:c>
      <x:c r="G24" s="42" t="str">
        <x:v>Fibre g</x:v>
      </x:c>
      <x:c r="H24" s="38"/>
      <x:c r="I24" s="38"/>
    </x:row>
    <x:row r="25">
      <x:c r="A25" s="38" t="str">
        <x:v>Lindahls Kvarg vanilla</x:v>
      </x:c>
      <x:c r="B25" s="38" t="str">
        <x:v>4 x 150g pots</x:v>
      </x:c>
      <x:c r="C25" s="38" t="str">
        <x:v>1 pot</x:v>
      </x:c>
      <x:c r="D25" s="44" t="n">
        <x:v>81</x:v>
      </x:c>
      <x:c r="E25" s="44" t="n">
        <x:v>15</x:v>
      </x:c>
      <x:c r="F25" s="44" t="n">
        <x:v>5.3</x:v>
      </x:c>
      <x:c r="G25" s="44" t="n">
        <x:v>0</x:v>
      </x:c>
      <x:c r="H25" s="38"/>
      <x:c r="I25" s="38"/>
    </x:row>
    <x:row r="26">
      <x:c r="A26" s="38" t="str">
        <x:v>Kallo beetroot veggie cakes</x:v>
      </x:c>
      <x:c r="B26" s="38" t="str">
        <x:v>1 x 122g pack</x:v>
      </x:c>
      <x:c r="C26" s="38" t="str">
        <x:v>2 cakes</x:v>
      </x:c>
      <x:c r="D26" s="44" t="n">
        <x:v>80</x:v>
      </x:c>
      <x:c r="E26" s="44" t="n">
        <x:v>4.8</x:v>
      </x:c>
      <x:c r="F26" s="44" t="n">
        <x:v>9.6</x:v>
      </x:c>
      <x:c r="G26" s="44" t="n">
        <x:v>1.2</x:v>
      </x:c>
      <x:c r="H26" s="38"/>
      <x:c r="I26" s="38"/>
    </x:row>
    <x:row r="27">
      <x:c r="A27" s="38" t="str">
        <x:v>70% dark chocolate</x:v>
      </x:c>
      <x:c r="B27" s="38" t="str">
        <x:v>1 x 100g bar</x:v>
      </x:c>
      <x:c r="C27" s="38" t="str">
        <x:v>10g</x:v>
      </x:c>
      <x:c r="D27" s="44" t="n">
        <x:v>60</x:v>
      </x:c>
      <x:c r="E27" s="44" t="n">
        <x:v>0.8</x:v>
      </x:c>
      <x:c r="F27" s="44" t="n">
        <x:v>3.5</x:v>
      </x:c>
      <x:c r="G27" s="44" t="n">
        <x:v>0.9</x:v>
      </x:c>
      <x:c r="H27" s="38"/>
      <x:c r="I27" s="38"/>
    </x:row>
    <x:row r="28">
      <x:c r="A28" s="38"/>
      <x:c r="B28" s="38"/>
      <x:c r="C28" s="38"/>
      <x:c r="D28" s="38"/>
      <x:c r="E28" s="38"/>
      <x:c r="F28" s="38"/>
      <x:c r="G28" s="38"/>
      <x:c r="H28" s="38"/>
      <x:c r="I28" s="38"/>
    </x:row>
    <x:row r="29">
      <x:c r="A29" s="47" t="str">
        <x:v>Pantry check: salt, black pepper, garlic granules, smoked paprika, chilli/cumin, balsamic vinegar and lemon/lime.</x:v>
      </x:c>
      <x:c r="B29" s="47"/>
      <x:c r="C29" s="47"/>
      <x:c r="D29" s="47"/>
      <x:c r="E29" s="47"/>
      <x:c r="F29" s="47"/>
      <x:c r="G29" s="47"/>
      <x:c r="H29" s="47"/>
      <x:c r="I29" s="47"/>
    </x:row>
  </x:sheetData>
  <x:mergeCells>
    <x:mergeCell ref="A1:I1"/>
    <x:mergeCell ref="A2:I3"/>
    <x:mergeCell ref="A23:I23"/>
    <x:mergeCell ref="A29:I29"/>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18" hidden="0" customWidth="1"/>
    <x:col min="3" max="3" width="13"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25" hidden="0" customWidth="1"/>
    <x:col min="12" max="12" width="75" hidden="0" customWidth="1"/>
  </x:cols>
  <x:sheetData>
    <x:row r="1" ht="34" customHeight="1">
      <x:c r="A1" s="54" t="str">
        <x:v>Food &amp; nutrition assumptions</x:v>
      </x:c>
      <x:c r="B1" s="54"/>
      <x:c r="C1" s="54"/>
      <x:c r="D1" s="54"/>
      <x:c r="E1" s="54"/>
      <x:c r="F1" s="54"/>
      <x:c r="G1" s="54"/>
      <x:c r="H1" s="54"/>
      <x:c r="I1" s="54"/>
      <x:c r="J1" s="54"/>
      <x:c r="K1" s="54"/>
      <x:c r="L1" s="54"/>
    </x:row>
    <x:row r="2">
      <x:c r="A2" s="47" t="str">
        <x:v>Removed foods are absent from this workbook. Baseline calories come entirely from Meal 1 and Meal 2; optional snacks are listed separately and are not included in daily totals. Sources checked 15 Aug 2026.</x:v>
      </x:c>
      <x:c r="B2" s="47"/>
      <x:c r="C2" s="47"/>
      <x:c r="D2" s="47"/>
      <x:c r="E2" s="47"/>
      <x:c r="F2" s="47"/>
      <x:c r="G2" s="47"/>
      <x:c r="H2" s="47"/>
      <x:c r="I2" s="47"/>
      <x:c r="J2" s="47"/>
      <x:c r="K2" s="47"/>
      <x:c r="L2" s="47"/>
    </x:row>
    <x:row r="3">
      <x:c r="A3" s="47"/>
      <x:c r="B3" s="47"/>
      <x:c r="C3" s="47"/>
      <x:c r="D3" s="47"/>
      <x:c r="E3" s="47"/>
      <x:c r="F3" s="47"/>
      <x:c r="G3" s="47"/>
      <x:c r="H3" s="47"/>
      <x:c r="I3" s="47"/>
      <x:c r="J3" s="47"/>
      <x:c r="K3" s="47"/>
      <x:c r="L3" s="47"/>
    </x:row>
    <x:row r="4">
      <x:c r="A4" s="38"/>
      <x:c r="B4" s="38"/>
      <x:c r="C4" s="38"/>
      <x:c r="D4" s="38"/>
      <x:c r="E4" s="38"/>
      <x:c r="F4" s="38"/>
      <x:c r="G4" s="38"/>
      <x:c r="H4" s="38"/>
      <x:c r="I4" s="38"/>
      <x:c r="J4" s="38"/>
      <x:c r="K4" s="38"/>
      <x:c r="L4" s="38"/>
    </x:row>
    <x:row r="5">
      <x:c r="A5" s="42" t="str">
        <x:v>Food</x:v>
      </x:c>
      <x:c r="B5" s="42" t="str">
        <x:v>Category</x:v>
      </x:c>
      <x:c r="C5" s="42" t="str">
        <x:v>Weigh as</x:v>
      </x:c>
      <x:c r="D5" s="42" t="str">
        <x:v>kcal /100g</x:v>
      </x:c>
      <x:c r="E5" s="42" t="str">
        <x:v>Protein /100g</x:v>
      </x:c>
      <x:c r="F5" s="42" t="str">
        <x:v>Carbs /100g</x:v>
      </x:c>
      <x:c r="G5" s="42" t="str">
        <x:v>Fat /100g</x:v>
      </x:c>
      <x:c r="H5" s="42" t="str">
        <x:v>Fibre /100g</x:v>
      </x:c>
      <x:c r="I5" s="42" t="str">
        <x:v>Cooked yield</x:v>
      </x:c>
      <x:c r="J5" s="42" t="str">
        <x:v>Pack g</x:v>
      </x:c>
      <x:c r="K5" s="42" t="str">
        <x:v>Pack detail</x:v>
      </x:c>
      <x:c r="L5" s="42" t="str">
        <x:v>Source / note</x:v>
      </x:c>
    </x:row>
    <x:row r="6" ht="42" customHeight="1">
      <x:c r="A6" s="38" t="str">
        <x:v>Chicken thigh fillets</x:v>
      </x:c>
      <x:c r="B6" s="38" t="str">
        <x:v>Meat &amp; fish</x:v>
      </x:c>
      <x:c r="C6" s="38" t="str">
        <x:v>Cooked</x:v>
      </x:c>
      <x:c r="D6" s="44" t="n">
        <x:v>168</x:v>
      </x:c>
      <x:c r="E6" s="44" t="n">
        <x:v>24.8</x:v>
      </x:c>
      <x:c r="F6" s="44" t="n">
        <x:v>0</x:v>
      </x:c>
      <x:c r="G6" s="44" t="n">
        <x:v>7.6</x:v>
      </x:c>
      <x:c r="H6" s="44" t="n">
        <x:v>0</x:v>
      </x:c>
      <x:c r="I6" s="51" t="n">
        <x:v>0.75</x:v>
      </x:c>
      <x:c r="J6" s="44" t="n">
        <x:v>640</x:v>
      </x:c>
      <x:c r="K6" s="38" t="str">
        <x:v>640g raw pack</x:v>
      </x:c>
      <x:c r="L6" s="43" t="str">
        <x:v>https://www.sainsburys.co.uk/gol-ui/product/sainsburys-640g-british-fresh-skinless-boneless-chicken-thigh-fillets — Skinless, boneless; cooked label values. Approx. 125g per raw thigh fillet.</x:v>
      </x:c>
    </x:row>
    <x:row r="7" ht="42" customHeight="1">
      <x:c r="A7" s="38" t="str">
        <x:v>5% beef mince</x:v>
      </x:c>
      <x:c r="B7" s="38" t="str">
        <x:v>Meat &amp; fish</x:v>
      </x:c>
      <x:c r="C7" s="38" t="str">
        <x:v>Cooked</x:v>
      </x:c>
      <x:c r="D7" s="44" t="n">
        <x:v>168</x:v>
      </x:c>
      <x:c r="E7" s="44" t="n">
        <x:v>31.3</x:v>
      </x:c>
      <x:c r="F7" s="44" t="n">
        <x:v>0</x:v>
      </x:c>
      <x:c r="G7" s="44" t="n">
        <x:v>4.7</x:v>
      </x:c>
      <x:c r="H7" s="44" t="n">
        <x:v>0</x:v>
      </x:c>
      <x:c r="I7" s="51" t="n">
        <x:v>0.75</x:v>
      </x:c>
      <x:c r="J7" s="44" t="n">
        <x:v>500</x:v>
      </x:c>
      <x:c r="K7" s="38" t="str">
        <x:v>500g raw pack</x:v>
      </x:c>
      <x:c r="L7" s="43" t="str">
        <x:v>https://www.sainsburys.co.uk/gol-ui/product/sainsburys-beef-mince-5-fat-500g — Cooked label values; drain consistently.</x:v>
      </x:c>
    </x:row>
    <x:row r="8" ht="42" customHeight="1">
      <x:c r="A8" s="38" t="str">
        <x:v>Wild salmon fillets</x:v>
      </x:c>
      <x:c r="B8" s="38" t="str">
        <x:v>Meat &amp; fish</x:v>
      </x:c>
      <x:c r="C8" s="38" t="str">
        <x:v>Cooked</x:v>
      </x:c>
      <x:c r="D8" s="44" t="n">
        <x:v>135</x:v>
      </x:c>
      <x:c r="E8" s="44" t="n">
        <x:v>25.6</x:v>
      </x:c>
      <x:c r="F8" s="44" t="n">
        <x:v>0</x:v>
      </x:c>
      <x:c r="G8" s="44" t="n">
        <x:v>3.4</x:v>
      </x:c>
      <x:c r="H8" s="44" t="n">
        <x:v>0</x:v>
      </x:c>
      <x:c r="I8" s="51" t="n">
        <x:v>0.85</x:v>
      </x:c>
      <x:c r="J8" s="44" t="n">
        <x:v>360</x:v>
      </x:c>
      <x:c r="K8" s="38" t="str">
        <x:v>360g raw/frozen pack</x:v>
      </x:c>
      <x:c r="L8" s="43" t="str">
        <x:v>https://www.sainsburys.co.uk/webapp/wcs/stores/servlet/gb/groceries/salmon — Lean wild-pink-salmon option; Atlantic salmon needs different macros.</x:v>
      </x:c>
    </x:row>
    <x:row r="9" ht="42" customHeight="1">
      <x:c r="A9" s="38" t="str">
        <x:v>Sirloin steak</x:v>
      </x:c>
      <x:c r="B9" s="38" t="str">
        <x:v>Meat &amp; fish</x:v>
      </x:c>
      <x:c r="C9" s="38" t="str">
        <x:v>Cooked</x:v>
      </x:c>
      <x:c r="D9" s="44" t="n">
        <x:v>189</x:v>
      </x:c>
      <x:c r="E9" s="44" t="n">
        <x:v>27.7</x:v>
      </x:c>
      <x:c r="F9" s="44" t="n">
        <x:v>0</x:v>
      </x:c>
      <x:c r="G9" s="44" t="n">
        <x:v>8.7</x:v>
      </x:c>
      <x:c r="H9" s="44" t="n">
        <x:v>0</x:v>
      </x:c>
      <x:c r="I9" s="51" t="n">
        <x:v>0.78</x:v>
      </x:c>
      <x:c r="J9" s="44" t="n">
        <x:v>225</x:v>
      </x:c>
      <x:c r="K9" s="38" t="str">
        <x:v>225g raw steak</x:v>
      </x:c>
      <x:c r="L9" s="43" t="str">
        <x:v>https://www.sainsburys.co.uk/webapp/wcs/stores/servlet/gb/groceries/taste-the-difference-steaks — Taste the Difference sirloin; cooked label values.</x:v>
      </x:c>
    </x:row>
    <x:row r="10" ht="42" customHeight="1">
      <x:c r="A10" s="38" t="str">
        <x:v>Fusilli pasta</x:v>
      </x:c>
      <x:c r="B10" s="38" t="str">
        <x:v>Carbs</x:v>
      </x:c>
      <x:c r="C10" s="38" t="str">
        <x:v>Dry</x:v>
      </x:c>
      <x:c r="D10" s="44" t="n">
        <x:v>364.4</x:v>
      </x:c>
      <x:c r="E10" s="44" t="n">
        <x:v>12.2</x:v>
      </x:c>
      <x:c r="F10" s="44" t="n">
        <x:v>73.8</x:v>
      </x:c>
      <x:c r="G10" s="44" t="n">
        <x:v>1.6</x:v>
      </x:c>
      <x:c r="H10" s="44" t="n">
        <x:v>3.3</x:v>
      </x:c>
      <x:c r="I10" s="51" t="n">
        <x:v>1</x:v>
      </x:c>
      <x:c r="J10" s="44" t="n">
        <x:v>1000</x:v>
      </x:c>
      <x:c r="K10" s="38" t="str">
        <x:v>1kg bag</x:v>
      </x:c>
      <x:c r="L10" s="43" t="str">
        <x:v>https://www.sainsburys.co.uk/gol-ui/product/sainsburys-fusilli-1kg — Standard white fusilli. Dry values converted from the 90g dry / 200g cooked label serving.</x:v>
      </x:c>
    </x:row>
    <x:row r="11" ht="42" customHeight="1">
      <x:c r="A11" s="38" t="str">
        <x:v>White basmati rice</x:v>
      </x:c>
      <x:c r="B11" s="38" t="str">
        <x:v>Carbs</x:v>
      </x:c>
      <x:c r="C11" s="38" t="str">
        <x:v>Dry</x:v>
      </x:c>
      <x:c r="D11" s="44" t="n">
        <x:v>351</x:v>
      </x:c>
      <x:c r="E11" s="44" t="n">
        <x:v>7.8</x:v>
      </x:c>
      <x:c r="F11" s="44" t="n">
        <x:v>77.7</x:v>
      </x:c>
      <x:c r="G11" s="44" t="n">
        <x:v>0.8</x:v>
      </x:c>
      <x:c r="H11" s="44" t="n">
        <x:v>1</x:v>
      </x:c>
      <x:c r="I11" s="51" t="n">
        <x:v>1</x:v>
      </x:c>
      <x:c r="J11" s="44" t="n">
        <x:v>1000</x:v>
      </x:c>
      <x:c r="K11" s="38" t="str">
        <x:v>1kg bag</x:v>
      </x:c>
      <x:c r="L11" s="43" t="str">
        <x:v>https://www.sainsburys.co.uk/gol-ui/searchResults/basmati%20rice%201kg — Plain white basmati; values match the current Tilda listing.</x:v>
      </x:c>
    </x:row>
    <x:row r="12" ht="42" customHeight="1">
      <x:c r="A12" s="38" t="str">
        <x:v>Gastro oven chips</x:v>
      </x:c>
      <x:c r="B12" s="38" t="str">
        <x:v>Carbs</x:v>
      </x:c>
      <x:c r="C12" s="38" t="str">
        <x:v>Frozen</x:v>
      </x:c>
      <x:c r="D12" s="44" t="n">
        <x:v>186</x:v>
      </x:c>
      <x:c r="E12" s="44" t="n">
        <x:v>2.2</x:v>
      </x:c>
      <x:c r="F12" s="44" t="n">
        <x:v>19</x:v>
      </x:c>
      <x:c r="G12" s="44" t="n">
        <x:v>11</x:v>
      </x:c>
      <x:c r="H12" s="44" t="n">
        <x:v>2.2</x:v>
      </x:c>
      <x:c r="I12" s="51" t="n">
        <x:v>1</x:v>
      </x:c>
      <x:c r="J12" s="44" t="n">
        <x:v>600</x:v>
      </x:c>
      <x:c r="K12" s="38" t="str">
        <x:v>600g bag</x:v>
      </x:c>
      <x:c r="L12" s="43" t="str">
        <x:v>https://www.sainsburys.co.uk/gol-ui/Product/ProductDisplay?productUid=8220901 — McCain Gastro, values per 100g frozen.</x:v>
      </x:c>
    </x:row>
    <x:row r="13" ht="42" customHeight="1">
      <x:c r="A13" s="38" t="str">
        <x:v>Chunky vegetable pasta sauce</x:v>
      </x:c>
      <x:c r="B13" s="38" t="str">
        <x:v>Sauces &amp; pantry</x:v>
      </x:c>
      <x:c r="C13" s="38" t="str">
        <x:v>As sold</x:v>
      </x:c>
      <x:c r="D13" s="44" t="n">
        <x:v>42</x:v>
      </x:c>
      <x:c r="E13" s="44" t="n">
        <x:v>1.2</x:v>
      </x:c>
      <x:c r="F13" s="44" t="n">
        <x:v>7.6</x:v>
      </x:c>
      <x:c r="G13" s="44" t="n">
        <x:v>0.6</x:v>
      </x:c>
      <x:c r="H13" s="44" t="n">
        <x:v>0.6</x:v>
      </x:c>
      <x:c r="I13" s="51" t="n">
        <x:v>1</x:v>
      </x:c>
      <x:c r="J13" s="44" t="n">
        <x:v>500</x:v>
      </x:c>
      <x:c r="K13" s="38" t="str">
        <x:v>500g jar</x:v>
      </x:c>
      <x:c r="L13" s="43" t="str">
        <x:v>https://www.sainsburys.co.uk/gol-ui/product/sainsburys-chunky-vegetable-pasta-sauce-500g — One quarter jar is 125g.</x:v>
      </x:c>
    </x:row>
    <x:row r="14" ht="42" customHeight="1">
      <x:c r="A14" s="38" t="str">
        <x:v>Light green pesto</x:v>
      </x:c>
      <x:c r="B14" s="38" t="str">
        <x:v>Sauces &amp; pantry</x:v>
      </x:c>
      <x:c r="C14" s="38" t="str">
        <x:v>As sold</x:v>
      </x:c>
      <x:c r="D14" s="44" t="n">
        <x:v>255</x:v>
      </x:c>
      <x:c r="E14" s="44" t="n">
        <x:v>3.5</x:v>
      </x:c>
      <x:c r="F14" s="44" t="n">
        <x:v>7</x:v>
      </x:c>
      <x:c r="G14" s="44" t="n">
        <x:v>24</x:v>
      </x:c>
      <x:c r="H14" s="44" t="n">
        <x:v>2</x:v>
      </x:c>
      <x:c r="I14" s="51" t="n">
        <x:v>1</x:v>
      </x:c>
      <x:c r="J14" s="44" t="n">
        <x:v>190</x:v>
      </x:c>
      <x:c r="K14" s="38" t="str">
        <x:v>190g jar</x:v>
      </x:c>
      <x:c r="L14" s="43" t="str">
        <x:v>https://www.sainsburys.co.uk/gol-ui/product/sainsburys-green-pesto--be-good-to-yourself-190g — Planning estimate: confirm the current jar label.</x:v>
      </x:c>
    </x:row>
    <x:row r="15" ht="42" customHeight="1">
      <x:c r="A15" s="38" t="str">
        <x:v>Greek feta</x:v>
      </x:c>
      <x:c r="B15" s="38" t="str">
        <x:v>Dairy</x:v>
      </x:c>
      <x:c r="C15" s="38" t="str">
        <x:v>As sold</x:v>
      </x:c>
      <x:c r="D15" s="44" t="n">
        <x:v>276</x:v>
      </x:c>
      <x:c r="E15" s="44" t="n">
        <x:v>16</x:v>
      </x:c>
      <x:c r="F15" s="44" t="n">
        <x:v>0.7</x:v>
      </x:c>
      <x:c r="G15" s="44" t="n">
        <x:v>23</x:v>
      </x:c>
      <x:c r="H15" s="44" t="n">
        <x:v>0</x:v>
      </x:c>
      <x:c r="I15" s="51" t="n">
        <x:v>1</x:v>
      </x:c>
      <x:c r="J15" s="44" t="n">
        <x:v>200</x:v>
      </x:c>
      <x:c r="K15" s="38" t="str">
        <x:v>200g pack</x:v>
      </x:c>
      <x:c r="L15" s="43" t="str">
        <x:v>https://m.nutracheck.co.uk/ProteinIn/Product/06/Sainsbury%27s%2BGreek%2BFeta%2B200g — 30g serving is 83 kcal, 5g protein and 6.9g fat.</x:v>
      </x:c>
    </x:row>
    <x:row r="16" ht="42" customHeight="1">
      <x:c r="A16" s="38" t="str">
        <x:v>Garden peas</x:v>
      </x:c>
      <x:c r="B16" s="38" t="str">
        <x:v>Fruit &amp; veg</x:v>
      </x:c>
      <x:c r="C16" s="38" t="str">
        <x:v>Frozen</x:v>
      </x:c>
      <x:c r="D16" s="44" t="n">
        <x:v>85</x:v>
      </x:c>
      <x:c r="E16" s="44" t="n">
        <x:v>5.7</x:v>
      </x:c>
      <x:c r="F16" s="44" t="n">
        <x:v>10.8</x:v>
      </x:c>
      <x:c r="G16" s="44" t="n">
        <x:v>0.9</x:v>
      </x:c>
      <x:c r="H16" s="44" t="n">
        <x:v>5.7</x:v>
      </x:c>
      <x:c r="I16" s="51" t="n">
        <x:v>1</x:v>
      </x:c>
      <x:c r="J16" s="44" t="n">
        <x:v>910</x:v>
      </x:c>
      <x:c r="K16" s="38" t="str">
        <x:v>910g frozen bag</x:v>
      </x:c>
      <x:c r="L16" s="43" t="str">
        <x:v>https://www.sainsburys.co.uk/gol-ui/searchResults/garden%20peas — Used inside meals as the main replacement fibre source.</x:v>
      </x:c>
    </x:row>
    <x:row r="17" ht="42" customHeight="1">
      <x:c r="A17" s="38" t="str">
        <x:v>Mixed peppers</x:v>
      </x:c>
      <x:c r="B17" s="38" t="str">
        <x:v>Fruit &amp; veg</x:v>
      </x:c>
      <x:c r="C17" s="38" t="str">
        <x:v>Raw</x:v>
      </x:c>
      <x:c r="D17" s="44" t="n">
        <x:v>26</x:v>
      </x:c>
      <x:c r="E17" s="44" t="n">
        <x:v>1</x:v>
      </x:c>
      <x:c r="F17" s="44" t="n">
        <x:v>4.4</x:v>
      </x:c>
      <x:c r="G17" s="44" t="n">
        <x:v>0.3</x:v>
      </x:c>
      <x:c r="H17" s="44" t="n">
        <x:v>1.7</x:v>
      </x:c>
      <x:c r="I17" s="51" t="n">
        <x:v>1</x:v>
      </x:c>
      <x:c r="J17" s="44" t="n">
        <x:v>450</x:v>
      </x:c>
      <x:c r="K17" s="38" t="str">
        <x:v>3-pack / ~450g</x:v>
      </x:c>
      <x:c r="L17" s="43" t="str">
        <x:v>https://www.sainsburys.co.uk/gol-ui/searchResults/mixed%20peppers — Approximate raw values.</x:v>
      </x:c>
    </x:row>
    <x:row r="18" ht="42" customHeight="1">
      <x:c r="A18" s="38" t="str">
        <x:v>Broccoli</x:v>
      </x:c>
      <x:c r="B18" s="38" t="str">
        <x:v>Fruit &amp; veg</x:v>
      </x:c>
      <x:c r="C18" s="38" t="str">
        <x:v>Raw/frozen</x:v>
      </x:c>
      <x:c r="D18" s="44" t="n">
        <x:v>34</x:v>
      </x:c>
      <x:c r="E18" s="44" t="n">
        <x:v>2.8</x:v>
      </x:c>
      <x:c r="F18" s="44" t="n">
        <x:v>2.7</x:v>
      </x:c>
      <x:c r="G18" s="44" t="n">
        <x:v>0.4</x:v>
      </x:c>
      <x:c r="H18" s="44" t="n">
        <x:v>3</x:v>
      </x:c>
      <x:c r="I18" s="51" t="n">
        <x:v>1</x:v>
      </x:c>
      <x:c r="J18" s="44" t="n">
        <x:v>900</x:v>
      </x:c>
      <x:c r="K18" s="38" t="str">
        <x:v>900g frozen bag</x:v>
      </x:c>
      <x:c r="L18" s="43" t="str">
        <x:v>https://www.sainsburys.co.uk/gol-ui/searchResults/frozen%20broccoli — Frozen is easiest for the weekly volume.</x:v>
      </x:c>
    </x:row>
    <x:row r="19" ht="42" customHeight="1">
      <x:c r="A19" s="38" t="str">
        <x:v>Spring onions</x:v>
      </x:c>
      <x:c r="B19" s="38" t="str">
        <x:v>Fruit &amp; veg</x:v>
      </x:c>
      <x:c r="C19" s="38" t="str">
        <x:v>Raw</x:v>
      </x:c>
      <x:c r="D19" s="44" t="n">
        <x:v>27</x:v>
      </x:c>
      <x:c r="E19" s="44" t="n">
        <x:v>1.8</x:v>
      </x:c>
      <x:c r="F19" s="44" t="n">
        <x:v>4.3</x:v>
      </x:c>
      <x:c r="G19" s="44" t="n">
        <x:v>0.2</x:v>
      </x:c>
      <x:c r="H19" s="44" t="n">
        <x:v>2.6</x:v>
      </x:c>
      <x:c r="I19" s="51" t="n">
        <x:v>1</x:v>
      </x:c>
      <x:c r="J19" s="44" t="n">
        <x:v>100</x:v>
      </x:c>
      <x:c r="K19" s="38" t="str">
        <x:v>~100g bunch</x:v>
      </x:c>
      <x:c r="L19" s="43" t="str">
        <x:v>https://www.sainsburys.co.uk/gol-ui/searchResults/spring%20onions — Approximate raw values.</x:v>
      </x:c>
    </x:row>
    <x:row r="20" ht="42" customHeight="1">
      <x:c r="A20" s="38" t="str">
        <x:v>Avocado flesh</x:v>
      </x:c>
      <x:c r="B20" s="38" t="str">
        <x:v>Fruit &amp; veg</x:v>
      </x:c>
      <x:c r="C20" s="38" t="str">
        <x:v>Flesh</x:v>
      </x:c>
      <x:c r="D20" s="44" t="n">
        <x:v>197</x:v>
      </x:c>
      <x:c r="E20" s="44" t="n">
        <x:v>1.9</x:v>
      </x:c>
      <x:c r="F20" s="44" t="n">
        <x:v>1.9</x:v>
      </x:c>
      <x:c r="G20" s="44" t="n">
        <x:v>19.5</x:v>
      </x:c>
      <x:c r="H20" s="44" t="n">
        <x:v>3.4</x:v>
      </x:c>
      <x:c r="I20" s="51" t="n">
        <x:v>1</x:v>
      </x:c>
      <x:c r="J20" s="44" t="n">
        <x:v>160</x:v>
      </x:c>
      <x:c r="K20" s="38" t="str">
        <x:v>2 avocados / ~160g flesh</x:v>
      </x:c>
      <x:c r="L20" s="43" t="str">
        <x:v>https://www.sainsburys.co.uk/gol-ui/searchResults/ripe%20avocado — 80g flesh per medium avocado on the label.</x:v>
      </x:c>
    </x:row>
    <x:row r="21" ht="42" customHeight="1">
      <x:c r="A21" s="38" t="str">
        <x:v>Olive oil</x:v>
      </x:c>
      <x:c r="B21" s="38" t="str">
        <x:v>Sauces &amp; pantry</x:v>
      </x:c>
      <x:c r="C21" s="38" t="str">
        <x:v>As sold</x:v>
      </x:c>
      <x:c r="D21" s="44" t="n">
        <x:v>900</x:v>
      </x:c>
      <x:c r="E21" s="44" t="n">
        <x:v>0</x:v>
      </x:c>
      <x:c r="F21" s="44" t="n">
        <x:v>0</x:v>
      </x:c>
      <x:c r="G21" s="44" t="n">
        <x:v>100</x:v>
      </x:c>
      <x:c r="H21" s="44" t="n">
        <x:v>0</x:v>
      </x:c>
      <x:c r="I21" s="51" t="n">
        <x:v>1</x:v>
      </x:c>
      <x:c r="J21" s="44" t="n">
        <x:v>455</x:v>
      </x:c>
      <x:c r="K21" s="38" t="str">
        <x:v>500ml bottle / ~455g</x:v>
      </x:c>
      <x:c r="L21" s="43" t="str">
        <x:v>https://www.sainsburys.co.uk/gol-ui/searchResults/olive%20oil — Use a scale; 5g is about 1 teaspoon.</x:v>
      </x:c>
    </x:row>
    <x:row r="22" ht="42" customHeight="1">
      <x:c r="A22" s="38" t="str">
        <x:v>Lindahls Kvarg vanilla</x:v>
      </x:c>
      <x:c r="B22" s="38" t="str">
        <x:v>Optional snacks</x:v>
      </x:c>
      <x:c r="C22" s="38" t="str">
        <x:v>As sold</x:v>
      </x:c>
      <x:c r="D22" s="44" t="n">
        <x:v>54</x:v>
      </x:c>
      <x:c r="E22" s="44" t="n">
        <x:v>10</x:v>
      </x:c>
      <x:c r="F22" s="44" t="n">
        <x:v>3.5</x:v>
      </x:c>
      <x:c r="G22" s="44" t="n">
        <x:v>0.2</x:v>
      </x:c>
      <x:c r="H22" s="44" t="n">
        <x:v>0</x:v>
      </x:c>
      <x:c r="I22" s="51" t="n">
        <x:v>1</x:v>
      </x:c>
      <x:c r="J22" s="44" t="n">
        <x:v>150</x:v>
      </x:c>
      <x:c r="K22" s="38" t="str">
        <x:v>150g pot</x:v>
      </x:c>
      <x:c r="L22" s="43" t="str">
        <x:v>https://www.sainsburys.co.uk/gol-ui/product/lindahls-kvarg-vanilla-150g — Optional protein top-up only; excluded from baseline totals.</x:v>
      </x:c>
    </x:row>
    <x:row r="23" ht="42" customHeight="1">
      <x:c r="A23" s="38" t="str">
        <x:v>70% dark chocolate</x:v>
      </x:c>
      <x:c r="B23" s="38" t="str">
        <x:v>Optional snacks</x:v>
      </x:c>
      <x:c r="C23" s="38" t="str">
        <x:v>As sold</x:v>
      </x:c>
      <x:c r="D23" s="44" t="n">
        <x:v>599</x:v>
      </x:c>
      <x:c r="E23" s="44" t="n">
        <x:v>8</x:v>
      </x:c>
      <x:c r="F23" s="44" t="n">
        <x:v>34.5</x:v>
      </x:c>
      <x:c r="G23" s="44" t="n">
        <x:v>45.7</x:v>
      </x:c>
      <x:c r="H23" s="44" t="n">
        <x:v>8.8</x:v>
      </x:c>
      <x:c r="I23" s="51" t="n">
        <x:v>1</x:v>
      </x:c>
      <x:c r="J23" s="44" t="n">
        <x:v>100</x:v>
      </x:c>
      <x:c r="K23" s="38" t="str">
        <x:v>100g bar</x:v>
      </x:c>
      <x:c r="L23" s="43" t="str">
        <x:v>https://www.sainsburys.co.uk/webapp/wcs/stores/servlet/gb/groceries/single-bar-chocolate/single-bar-chocolate — Optional treat; 10g is about 60 kcal.</x:v>
      </x:c>
    </x:row>
    <x:row r="24" ht="42" customHeight="1">
      <x:c r="A24" s="38" t="str">
        <x:v>Kallo beetroot veggie cakes</x:v>
      </x:c>
      <x:c r="B24" s="38" t="str">
        <x:v>Optional snacks</x:v>
      </x:c>
      <x:c r="C24" s="38" t="str">
        <x:v>As sold</x:v>
      </x:c>
      <x:c r="D24" s="44" t="n">
        <x:v>392</x:v>
      </x:c>
      <x:c r="E24" s="44" t="n">
        <x:v>23.5</x:v>
      </x:c>
      <x:c r="F24" s="44" t="n">
        <x:v>47.1</x:v>
      </x:c>
      <x:c r="G24" s="44" t="n">
        <x:v>10.8</x:v>
      </x:c>
      <x:c r="H24" s="44" t="n">
        <x:v>5.9</x:v>
      </x:c>
      <x:c r="I24" s="51" t="n">
        <x:v>1</x:v>
      </x:c>
      <x:c r="J24" s="44" t="n">
        <x:v>122</x:v>
      </x:c>
      <x:c r="K24" s="38" t="str">
        <x:v>122g pack</x:v>
      </x:c>
      <x:c r="L24" s="43" t="str">
        <x:v>https://shop.kallo.com/products/beetroot-veggie-cakes-122g — Optional carb/fibre top-up; 2 cakes are about 80 kcal.</x:v>
      </x:c>
    </x:row>
  </x:sheetData>
  <x:mergeCells>
    <x:mergeCell ref="A1:L1"/>
    <x:mergeCell ref="A2:L3"/>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18" hidden="0" customWidth="1"/>
    <x:col min="3" max="3" width="18" hidden="0" customWidth="1"/>
    <x:col min="4" max="4" width="26" hidden="0" customWidth="1"/>
    <x:col min="5" max="5" width="26" hidden="0" customWidth="1"/>
    <x:col min="6" max="6" width="26" hidden="0" customWidth="1"/>
    <x:col min="7" max="7" width="26" hidden="0" customWidth="1"/>
    <x:col min="8" max="8" width="26" hidden="0" customWidth="1"/>
  </x:cols>
  <x:sheetData>
    <x:row r="1" ht="34" customHeight="1">
      <x:c r="A1" s="54" t="str">
        <x:v>Meal prep &amp; portion guide — larger meals</x:v>
      </x:c>
      <x:c r="B1" s="54"/>
      <x:c r="C1" s="54"/>
      <x:c r="D1" s="54"/>
      <x:c r="E1" s="54"/>
      <x:c r="F1" s="54"/>
      <x:c r="G1" s="54"/>
      <x:c r="H1" s="54"/>
    </x:row>
    <x:row r="2">
      <x:c r="A2" s="38"/>
      <x:c r="B2" s="38"/>
      <x:c r="C2" s="38"/>
      <x:c r="D2" s="38"/>
      <x:c r="E2" s="38"/>
      <x:c r="F2" s="38"/>
      <x:c r="G2" s="38"/>
      <x:c r="H2" s="38"/>
    </x:row>
    <x:row r="3">
      <x:c r="A3" s="47" t="str">
        <x:v>Cook in two batches: Sunday for Mon–Wed and Wednesday evening for Thu–Sun. Every planned calorie is assigned to a meal; optional snacks are kept separate.</x:v>
      </x:c>
      <x:c r="B3" s="47"/>
      <x:c r="C3" s="47"/>
      <x:c r="D3" s="47"/>
      <x:c r="E3" s="47"/>
      <x:c r="F3" s="47"/>
      <x:c r="G3" s="47"/>
      <x:c r="H3" s="47"/>
    </x:row>
    <x:row r="4">
      <x:c r="A4" s="38"/>
      <x:c r="B4" s="38"/>
      <x:c r="C4" s="38"/>
      <x:c r="D4" s="38"/>
      <x:c r="E4" s="38"/>
      <x:c r="F4" s="38"/>
      <x:c r="G4" s="38"/>
      <x:c r="H4" s="38"/>
    </x:row>
    <x:row r="5">
      <x:c r="A5" s="42" t="str">
        <x:v>Protein</x:v>
      </x:c>
      <x:c r="B5" s="42" t="str">
        <x:v>Planned cooked g</x:v>
      </x:c>
      <x:c r="C5" s="42" t="str">
        <x:v>Raw equivalent g</x:v>
      </x:c>
      <x:c r="D5" s="42" t="str">
        <x:v>Simple count</x:v>
      </x:c>
      <x:c r="E5" s="42" t="str">
        <x:v>How to portion</x:v>
      </x:c>
      <x:c r="F5" s="42" t="str">
        <x:v>Batch note</x:v>
      </x:c>
      <x:c r="G5" s="42" t="str">
        <x:v>Reheat / serve</x:v>
      </x:c>
      <x:c r="H5" s="42" t="str">
        <x:v>Label caveat</x:v>
      </x:c>
    </x:row>
    <x:row r="6" ht="60" customHeight="1">
      <x:c r="A6" s="38" t="str">
        <x:v>Chicken thigh fillets</x:v>
      </x:c>
      <x:c r="B6" s="48" t="n">
        <x:f>SUMIF('Daily Plan'!$D$6:$D$110,A6,'Daily Plan'!$E$6:$E$110)</x:f>
        <x:v>1222</x:v>
      </x:c>
      <x:c r="C6" s="48" t="n">
        <x:f>B6/VLOOKUP(A6,'Food Data'!$A$6:$K$24,9,FALSE)</x:f>
        <x:v>1629.3333333333333</x:v>
      </x:c>
      <x:c r="D6" s="43" t="str">
        <x:f>ROUND(C6/125,1)&amp;" thigh fillets"</x:f>
        <x:v>13 thigh fillets</x:v>
      </x:c>
      <x:c r="E6" s="43" t="str">
        <x:v>Weigh after cooking and divide into the exact Daily Plan portions.</x:v>
      </x:c>
      <x:c r="F6" s="43" t="str">
        <x:v>Oven-bake; season half Italian and half smoky.</x:v>
      </x:c>
      <x:c r="G6" s="43" t="str">
        <x:v>Reheat until piping hot; only reheat once.</x:v>
      </x:c>
      <x:c r="H6" s="43" t="str">
        <x:v>Skinless, boneless; cooked label values. Approx. 125g per raw thigh fillet.</x:v>
      </x:c>
    </x:row>
    <x:row r="7" ht="60" customHeight="1">
      <x:c r="A7" s="38" t="str">
        <x:v>5% beef mince</x:v>
      </x:c>
      <x:c r="B7" s="48" t="n">
        <x:f>SUMIF('Daily Plan'!$D$6:$D$110,A7,'Daily Plan'!$E$6:$E$110)</x:f>
        <x:v>781</x:v>
      </x:c>
      <x:c r="C7" s="48" t="n">
        <x:f>B7/VLOOKUP(A7,'Food Data'!$A$6:$K$24,9,FALSE)</x:f>
        <x:v>1041.3333333333333</x:v>
      </x:c>
      <x:c r="D7" s="43" t="str">
        <x:f>ROUNDUP(C7/500,0)&amp;" x 500g packs"</x:f>
        <x:v>3 x 500g packs</x:v>
      </x:c>
      <x:c r="E7" s="43" t="str">
        <x:v>Brown, drain consistently, then weigh each cooked portion.</x:v>
      </x:c>
      <x:c r="F7" s="43" t="str">
        <x:v>Batch with garlic; split before adding sauces/spices.</x:v>
      </x:c>
      <x:c r="G7" s="43" t="str">
        <x:v>Reheat until piping hot; only reheat once.</x:v>
      </x:c>
      <x:c r="H7" s="43" t="str">
        <x:v>Cooked label values; drain consistently.</x:v>
      </x:c>
    </x:row>
    <x:row r="8" ht="60" customHeight="1">
      <x:c r="A8" s="38" t="str">
        <x:v>Wild salmon fillets</x:v>
      </x:c>
      <x:c r="B8" s="48" t="n">
        <x:f>SUMIF('Daily Plan'!$D$6:$D$110,A8,'Daily Plan'!$E$6:$E$110)</x:f>
        <x:v>472</x:v>
      </x:c>
      <x:c r="C8" s="48" t="n">
        <x:f>B8/VLOOKUP(A8,'Food Data'!$A$6:$K$24,9,FALSE)</x:f>
        <x:v>555.2941176470588</x:v>
      </x:c>
      <x:c r="D8" s="43" t="str">
        <x:f>ROUND(C8/90,1)&amp;" fillets"</x:f>
        <x:v>6.2 fillets</x:v>
      </x:c>
      <x:c r="E8" s="43" t="str">
        <x:v>Weigh after cooking and divide into the exact Daily Plan portions.</x:v>
      </x:c>
      <x:c r="F8" s="43" t="str">
        <x:v>Best cooked fresh; freeze later raw portions.</x:v>
      </x:c>
      <x:c r="G8" s="43" t="str">
        <x:v>Serve freshly cooked when possible.</x:v>
      </x:c>
      <x:c r="H8" s="43" t="str">
        <x:v>Lean wild-pink-salmon option; Atlantic salmon needs different macros.</x:v>
      </x:c>
    </x:row>
    <x:row r="9" ht="60" customHeight="1">
      <x:c r="A9" s="38" t="str">
        <x:v>Sirloin steak</x:v>
      </x:c>
      <x:c r="B9" s="48" t="n">
        <x:f>SUMIF('Daily Plan'!$D$6:$D$110,A9,'Daily Plan'!$E$6:$E$110)</x:f>
        <x:v>595</x:v>
      </x:c>
      <x:c r="C9" s="48" t="n">
        <x:f>B9/VLOOKUP(A9,'Food Data'!$A$6:$K$24,9,FALSE)</x:f>
        <x:v>762.8205128205128</x:v>
      </x:c>
      <x:c r="D9" s="43" t="str">
        <x:f>ROUND(C9/225,1)&amp;" steaks"</x:f>
        <x:v>3.4 steaks</x:v>
      </x:c>
      <x:c r="E9" s="43" t="str">
        <x:v>Weigh after cooking and divide into the exact Daily Plan portions.</x:v>
      </x:c>
      <x:c r="F9" s="43" t="str">
        <x:v>Best cooked fresh; freeze later raw portions.</x:v>
      </x:c>
      <x:c r="G9" s="43" t="str">
        <x:v>Serve freshly cooked when possible.</x:v>
      </x:c>
      <x:c r="H9" s="43" t="str">
        <x:v>Taste the Difference sirloin; cooked label values.</x:v>
      </x:c>
    </x:row>
    <x:row r="10">
      <x:c r="A10" s="38"/>
      <x:c r="B10" s="38"/>
      <x:c r="C10" s="38"/>
      <x:c r="D10" s="38"/>
      <x:c r="E10" s="38"/>
      <x:c r="F10" s="38"/>
      <x:c r="G10" s="38"/>
      <x:c r="H10" s="38"/>
    </x:row>
    <x:row r="11">
      <x:c r="A11" s="39" t="str">
        <x:v>Fast assembly order</x:v>
      </x:c>
      <x:c r="B11" s="39"/>
      <x:c r="C11" s="39"/>
      <x:c r="D11" s="39"/>
      <x:c r="E11" s="39"/>
      <x:c r="F11" s="39"/>
      <x:c r="G11" s="39"/>
      <x:c r="H11" s="39"/>
    </x:row>
    <x:row r="12" ht="36" customHeight="1">
      <x:c r="A12" s="52" t="str">
        <x:v>1</x:v>
      </x:c>
      <x:c r="B12" s="53" t="str">
        <x:v>Weigh starches</x:v>
      </x:c>
      <x:c r="C12" s="43" t="str">
        <x:v>Portion fusilli and white basmati dry before cooking.</x:v>
      </x:c>
      <x:c r="D12" s="43"/>
      <x:c r="E12" s="43"/>
      <x:c r="F12" s="43"/>
      <x:c r="G12" s="43"/>
      <x:c r="H12" s="43"/>
    </x:row>
    <x:row r="13" ht="36" customHeight="1">
      <x:c r="A13" s="52" t="str">
        <x:v>2</x:v>
      </x:c>
      <x:c r="B13" s="53" t="str">
        <x:v>Cook proteins</x:v>
      </x:c>
      <x:c r="C13" s="43" t="str">
        <x:v>Meals now contain the protein previously supplied by daily yoghurt snacks.</x:v>
      </x:c>
      <x:c r="D13" s="43"/>
      <x:c r="E13" s="43"/>
      <x:c r="F13" s="43"/>
      <x:c r="G13" s="43"/>
      <x:c r="H13" s="43"/>
    </x:row>
    <x:row r="14" ht="36" customHeight="1">
      <x:c r="A14" s="52" t="str">
        <x:v>3</x:v>
      </x:c>
      <x:c r="B14" s="53" t="str">
        <x:v>Build fibre into meals</x:v>
      </x:c>
      <x:c r="C14" s="43" t="str">
        <x:v>Use the listed broccoli, peas, peppers and spring onions rather than relying on fruit snacks.</x:v>
      </x:c>
      <x:c r="D14" s="43"/>
      <x:c r="E14" s="43"/>
      <x:c r="F14" s="43"/>
      <x:c r="G14" s="43"/>
      <x:c r="H14" s="43"/>
    </x:row>
    <x:row r="15" ht="36" customHeight="1">
      <x:c r="A15" s="52" t="str">
        <x:v>4</x:v>
      </x:c>
      <x:c r="B15" s="53" t="str">
        <x:v>Keep fats precise</x:v>
      </x:c>
      <x:c r="C15" s="43" t="str">
        <x:v>Weigh avocado, pesto, feta and oil; these move meal calories fastest.</x:v>
      </x:c>
      <x:c r="D15" s="43"/>
      <x:c r="E15" s="43"/>
      <x:c r="F15" s="43"/>
      <x:c r="G15" s="43"/>
      <x:c r="H15" s="43"/>
    </x:row>
    <x:row r="16" ht="36" customHeight="1">
      <x:c r="A16" s="52" t="str">
        <x:v>5</x:v>
      </x:c>
      <x:c r="B16" s="53" t="str">
        <x:v>Use snacks only as backup</x:v>
      </x:c>
      <x:c r="C16" s="43" t="str">
        <x:v>Optional snack macros are shown on Shopping List and are not included in the baseline.</x:v>
      </x:c>
      <x:c r="D16" s="43"/>
      <x:c r="E16" s="43"/>
      <x:c r="F16" s="43"/>
      <x:c r="G16" s="43"/>
      <x:c r="H16" s="43"/>
    </x:row>
  </x:sheetData>
  <x:mergeCells>
    <x:mergeCell ref="A1:H1"/>
    <x:mergeCell ref="A3:H3"/>
    <x:mergeCell ref="A11:H11"/>
    <x:mergeCell ref="C12:H12"/>
    <x:mergeCell ref="C13:H13"/>
    <x:mergeCell ref="C14:H14"/>
    <x:mergeCell ref="C15:H15"/>
    <x:mergeCell ref="C16:H16"/>
  </x:mergeCells>
  <x:pageMargins left="0.7" right="0.7" top="0.75" bottom="0.75" header="0.3" footer="0.3"/>
</x:worksheet>
</file>